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-Mau\Desktop\claudecode\portfolio\projects\bank-reconciliation\"/>
    </mc:Choice>
  </mc:AlternateContent>
  <xr:revisionPtr revIDLastSave="0" documentId="13_ncr:1_{8FF32FC1-0B0E-4AEB-A6A4-440AF5AB7E22}" xr6:coauthVersionLast="47" xr6:coauthVersionMax="47" xr10:uidLastSave="{00000000-0000-0000-0000-000000000000}"/>
  <bookViews>
    <workbookView xWindow="6900" yWindow="324" windowWidth="9480" windowHeight="11916" xr2:uid="{45B9ABE9-B4CC-49E6-B4EB-E228FD1EB396}"/>
  </bookViews>
  <sheets>
    <sheet name="Start" sheetId="8" r:id="rId1"/>
    <sheet name="Summary" sheetId="7" r:id="rId2"/>
    <sheet name="Reconciliation" sheetId="6" r:id="rId3"/>
    <sheet name="Actions" sheetId="5" r:id="rId4"/>
    <sheet name="Bank" sheetId="4" r:id="rId5"/>
    <sheet name="Ledger" sheetId="3" r:id="rId6"/>
    <sheet name="Rules" sheetId="2" r:id="rId7"/>
    <sheet name="Settings" sheetId="1" r:id="rId8"/>
  </sheets>
  <definedNames>
    <definedName name="BankFile">Settings!$C$6</definedName>
    <definedName name="DataFolder">Settings!$C$5</definedName>
    <definedName name="DateTolerance">Settings!$C$16</definedName>
    <definedName name="DonnéesExternes_1" localSheetId="4" hidden="1">Bank!$A$1:$E$230</definedName>
    <definedName name="DonnéesExternes_1" localSheetId="5" hidden="1">Ledger!$A$1:$E$233</definedName>
    <definedName name="LedgerFile">Settings!$C$7</definedName>
    <definedName name="OpeningBank">Settings!$C$12</definedName>
    <definedName name="OpeningBooks">Settings!$C$13</definedName>
    <definedName name="PeriodEnd">Settings!$C$10</definedName>
    <definedName name="PeriodStart">Settings!$C$9</definedName>
    <definedName name="StatementClosing">Settings!$C$14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" i="4"/>
  <c r="F3" i="4"/>
  <c r="F4" i="4"/>
  <c r="F5" i="4"/>
  <c r="G5" i="4" s="1"/>
  <c r="F6" i="4"/>
  <c r="H6" i="4" s="1"/>
  <c r="F7" i="4"/>
  <c r="F8" i="4"/>
  <c r="G8" i="4" s="1"/>
  <c r="F9" i="4"/>
  <c r="F10" i="4"/>
  <c r="F11" i="4"/>
  <c r="F12" i="4"/>
  <c r="F13" i="4"/>
  <c r="G13" i="4" s="1"/>
  <c r="F14" i="4"/>
  <c r="H14" i="4" s="1"/>
  <c r="F15" i="4"/>
  <c r="F16" i="4"/>
  <c r="G16" i="4" s="1"/>
  <c r="F17" i="4"/>
  <c r="F18" i="4"/>
  <c r="F19" i="4"/>
  <c r="F20" i="4"/>
  <c r="F21" i="4"/>
  <c r="H21" i="4" s="1"/>
  <c r="J21" i="4" s="1"/>
  <c r="K21" i="4" s="1"/>
  <c r="L21" i="4" s="1"/>
  <c r="F22" i="4"/>
  <c r="H22" i="4" s="1"/>
  <c r="J22" i="4" s="1"/>
  <c r="K22" i="4" s="1"/>
  <c r="L22" i="4" s="1"/>
  <c r="M22" i="4" s="1"/>
  <c r="F23" i="4"/>
  <c r="F24" i="4"/>
  <c r="G24" i="4" s="1"/>
  <c r="F25" i="4"/>
  <c r="F26" i="4"/>
  <c r="F27" i="4"/>
  <c r="F28" i="4"/>
  <c r="F29" i="4"/>
  <c r="F30" i="4"/>
  <c r="H30" i="4" s="1"/>
  <c r="J30" i="4" s="1"/>
  <c r="K30" i="4" s="1"/>
  <c r="L30" i="4" s="1"/>
  <c r="F31" i="4"/>
  <c r="F32" i="4"/>
  <c r="G32" i="4" s="1"/>
  <c r="F33" i="4"/>
  <c r="G33" i="4" s="1"/>
  <c r="F34" i="4"/>
  <c r="F35" i="4"/>
  <c r="F36" i="4"/>
  <c r="F37" i="4"/>
  <c r="G37" i="4" s="1"/>
  <c r="F38" i="4"/>
  <c r="H38" i="4" s="1"/>
  <c r="F39" i="4"/>
  <c r="F40" i="4"/>
  <c r="G40" i="4" s="1"/>
  <c r="F41" i="4"/>
  <c r="G41" i="4" s="1"/>
  <c r="F42" i="4"/>
  <c r="F43" i="4"/>
  <c r="F44" i="4"/>
  <c r="F45" i="4"/>
  <c r="H45" i="4" s="1"/>
  <c r="J45" i="4" s="1"/>
  <c r="K45" i="4" s="1"/>
  <c r="L45" i="4" s="1"/>
  <c r="M45" i="4" s="1"/>
  <c r="F46" i="4"/>
  <c r="H46" i="4" s="1"/>
  <c r="F47" i="4"/>
  <c r="F48" i="4"/>
  <c r="G48" i="4" s="1"/>
  <c r="F49" i="4"/>
  <c r="G49" i="4" s="1"/>
  <c r="F50" i="4"/>
  <c r="F51" i="4"/>
  <c r="F52" i="4"/>
  <c r="F53" i="4"/>
  <c r="F54" i="4"/>
  <c r="H54" i="4" s="1"/>
  <c r="J54" i="4" s="1"/>
  <c r="K54" i="4" s="1"/>
  <c r="L54" i="4" s="1"/>
  <c r="F55" i="4"/>
  <c r="F56" i="4"/>
  <c r="G56" i="4" s="1"/>
  <c r="F57" i="4"/>
  <c r="G57" i="4" s="1"/>
  <c r="F58" i="4"/>
  <c r="F59" i="4"/>
  <c r="F60" i="4"/>
  <c r="F61" i="4"/>
  <c r="H61" i="4" s="1"/>
  <c r="F62" i="4"/>
  <c r="H62" i="4" s="1"/>
  <c r="J62" i="4" s="1"/>
  <c r="K62" i="4" s="1"/>
  <c r="L62" i="4" s="1"/>
  <c r="F63" i="4"/>
  <c r="F64" i="4"/>
  <c r="G64" i="4" s="1"/>
  <c r="F65" i="4"/>
  <c r="F66" i="4"/>
  <c r="F67" i="4"/>
  <c r="F68" i="4"/>
  <c r="F69" i="4"/>
  <c r="H69" i="4" s="1"/>
  <c r="F70" i="4"/>
  <c r="I70" i="4" s="1"/>
  <c r="F71" i="4"/>
  <c r="F72" i="4"/>
  <c r="H72" i="4" s="1"/>
  <c r="F73" i="4"/>
  <c r="H73" i="4" s="1"/>
  <c r="J73" i="4" s="1"/>
  <c r="K73" i="4" s="1"/>
  <c r="L73" i="4" s="1"/>
  <c r="F74" i="4"/>
  <c r="F75" i="4"/>
  <c r="F76" i="4"/>
  <c r="F77" i="4"/>
  <c r="H77" i="4" s="1"/>
  <c r="F78" i="4"/>
  <c r="F79" i="4"/>
  <c r="F80" i="4"/>
  <c r="I80" i="4" s="1"/>
  <c r="F81" i="4"/>
  <c r="F82" i="4"/>
  <c r="F83" i="4"/>
  <c r="F84" i="4"/>
  <c r="F85" i="4"/>
  <c r="F86" i="4"/>
  <c r="G86" i="4" s="1"/>
  <c r="F87" i="4"/>
  <c r="F88" i="4"/>
  <c r="F89" i="4"/>
  <c r="I89" i="4" s="1"/>
  <c r="F90" i="4"/>
  <c r="F91" i="4"/>
  <c r="F92" i="4"/>
  <c r="F93" i="4"/>
  <c r="H93" i="4" s="1"/>
  <c r="J93" i="4" s="1"/>
  <c r="F94" i="4"/>
  <c r="G94" i="4" s="1"/>
  <c r="F95" i="4"/>
  <c r="F96" i="4"/>
  <c r="F97" i="4"/>
  <c r="I97" i="4" s="1"/>
  <c r="F98" i="4"/>
  <c r="F99" i="4"/>
  <c r="F100" i="4"/>
  <c r="F101" i="4"/>
  <c r="G101" i="4" s="1"/>
  <c r="F102" i="4"/>
  <c r="F103" i="4"/>
  <c r="F104" i="4"/>
  <c r="G104" i="4" s="1"/>
  <c r="F105" i="4"/>
  <c r="F106" i="4"/>
  <c r="F107" i="4"/>
  <c r="F108" i="4"/>
  <c r="F109" i="4"/>
  <c r="G109" i="4" s="1"/>
  <c r="F110" i="4"/>
  <c r="G110" i="4" s="1"/>
  <c r="F111" i="4"/>
  <c r="F112" i="4"/>
  <c r="F113" i="4"/>
  <c r="F114" i="4"/>
  <c r="F115" i="4"/>
  <c r="F116" i="4"/>
  <c r="F117" i="4"/>
  <c r="H117" i="4" s="1"/>
  <c r="J117" i="4" s="1"/>
  <c r="K117" i="4" s="1"/>
  <c r="L117" i="4" s="1"/>
  <c r="M117" i="4" s="1"/>
  <c r="F118" i="4"/>
  <c r="H118" i="4" s="1"/>
  <c r="J118" i="4" s="1"/>
  <c r="K118" i="4" s="1"/>
  <c r="L118" i="4" s="1"/>
  <c r="F119" i="4"/>
  <c r="G119" i="4" s="1"/>
  <c r="F120" i="4"/>
  <c r="G120" i="4" s="1"/>
  <c r="F121" i="4"/>
  <c r="G121" i="4" s="1"/>
  <c r="F122" i="4"/>
  <c r="F123" i="4"/>
  <c r="F124" i="4"/>
  <c r="F125" i="4"/>
  <c r="F126" i="4"/>
  <c r="H126" i="4" s="1"/>
  <c r="F127" i="4"/>
  <c r="F128" i="4"/>
  <c r="F129" i="4"/>
  <c r="H129" i="4" s="1"/>
  <c r="J129" i="4" s="1"/>
  <c r="K129" i="4" s="1"/>
  <c r="L129" i="4" s="1"/>
  <c r="F130" i="4"/>
  <c r="G130" i="4" s="1"/>
  <c r="F131" i="4"/>
  <c r="G131" i="4" s="1"/>
  <c r="F132" i="4"/>
  <c r="F133" i="4"/>
  <c r="H133" i="4" s="1"/>
  <c r="J133" i="4" s="1"/>
  <c r="K133" i="4" s="1"/>
  <c r="L133" i="4" s="1"/>
  <c r="M133" i="4" s="1"/>
  <c r="F134" i="4"/>
  <c r="I134" i="4" s="1"/>
  <c r="F135" i="4"/>
  <c r="F136" i="4"/>
  <c r="H136" i="4" s="1"/>
  <c r="F137" i="4"/>
  <c r="H137" i="4" s="1"/>
  <c r="J137" i="4" s="1"/>
  <c r="K137" i="4" s="1"/>
  <c r="L137" i="4" s="1"/>
  <c r="N137" i="4" s="1"/>
  <c r="F138" i="4"/>
  <c r="F139" i="4"/>
  <c r="G139" i="4" s="1"/>
  <c r="F140" i="4"/>
  <c r="F141" i="4"/>
  <c r="F142" i="4"/>
  <c r="G142" i="4" s="1"/>
  <c r="F143" i="4"/>
  <c r="F144" i="4"/>
  <c r="I144" i="4" s="1"/>
  <c r="F145" i="4"/>
  <c r="H145" i="4" s="1"/>
  <c r="J145" i="4" s="1"/>
  <c r="K145" i="4" s="1"/>
  <c r="F146" i="4"/>
  <c r="F147" i="4"/>
  <c r="F148" i="4"/>
  <c r="F149" i="4"/>
  <c r="H149" i="4" s="1"/>
  <c r="J149" i="4" s="1"/>
  <c r="K149" i="4" s="1"/>
  <c r="L149" i="4" s="1"/>
  <c r="M149" i="4" s="1"/>
  <c r="F150" i="4"/>
  <c r="F151" i="4"/>
  <c r="G151" i="4" s="1"/>
  <c r="F152" i="4"/>
  <c r="G152" i="4" s="1"/>
  <c r="F153" i="4"/>
  <c r="F154" i="4"/>
  <c r="F155" i="4"/>
  <c r="F156" i="4"/>
  <c r="F157" i="4"/>
  <c r="F158" i="4"/>
  <c r="G158" i="4" s="1"/>
  <c r="F159" i="4"/>
  <c r="F160" i="4"/>
  <c r="G160" i="4" s="1"/>
  <c r="F161" i="4"/>
  <c r="G161" i="4" s="1"/>
  <c r="F162" i="4"/>
  <c r="I162" i="4" s="1"/>
  <c r="F163" i="4"/>
  <c r="I163" i="4" s="1"/>
  <c r="F164" i="4"/>
  <c r="F165" i="4"/>
  <c r="H165" i="4" s="1"/>
  <c r="J165" i="4" s="1"/>
  <c r="K165" i="4" s="1"/>
  <c r="L165" i="4" s="1"/>
  <c r="F166" i="4"/>
  <c r="H166" i="4" s="1"/>
  <c r="J166" i="4" s="1"/>
  <c r="K166" i="4" s="1"/>
  <c r="L166" i="4" s="1"/>
  <c r="F167" i="4"/>
  <c r="F168" i="4"/>
  <c r="G168" i="4" s="1"/>
  <c r="F169" i="4"/>
  <c r="G169" i="4" s="1"/>
  <c r="F170" i="4"/>
  <c r="G170" i="4" s="1"/>
  <c r="F171" i="4"/>
  <c r="H171" i="4" s="1"/>
  <c r="F172" i="4"/>
  <c r="F173" i="4"/>
  <c r="I173" i="4" s="1"/>
  <c r="F174" i="4"/>
  <c r="F175" i="4"/>
  <c r="H175" i="4" s="1"/>
  <c r="F176" i="4"/>
  <c r="H176" i="4" s="1"/>
  <c r="J176" i="4" s="1"/>
  <c r="K176" i="4" s="1"/>
  <c r="L176" i="4" s="1"/>
  <c r="N176" i="4" s="1"/>
  <c r="F177" i="4"/>
  <c r="F178" i="4"/>
  <c r="F179" i="4"/>
  <c r="F180" i="4"/>
  <c r="F181" i="4"/>
  <c r="G181" i="4" s="1"/>
  <c r="F182" i="4"/>
  <c r="I182" i="4" s="1"/>
  <c r="F183" i="4"/>
  <c r="F184" i="4"/>
  <c r="H184" i="4" s="1"/>
  <c r="F185" i="4"/>
  <c r="F186" i="4"/>
  <c r="F187" i="4"/>
  <c r="F188" i="4"/>
  <c r="F189" i="4"/>
  <c r="H189" i="4" s="1"/>
  <c r="F190" i="4"/>
  <c r="G190" i="4" s="1"/>
  <c r="F191" i="4"/>
  <c r="F192" i="4"/>
  <c r="H192" i="4" s="1"/>
  <c r="F193" i="4"/>
  <c r="H193" i="4" s="1"/>
  <c r="J193" i="4" s="1"/>
  <c r="F194" i="4"/>
  <c r="F195" i="4"/>
  <c r="G195" i="4" s="1"/>
  <c r="F196" i="4"/>
  <c r="F197" i="4"/>
  <c r="G197" i="4" s="1"/>
  <c r="F198" i="4"/>
  <c r="I198" i="4" s="1"/>
  <c r="F199" i="4"/>
  <c r="G199" i="4" s="1"/>
  <c r="F200" i="4"/>
  <c r="H200" i="4" s="1"/>
  <c r="J200" i="4" s="1"/>
  <c r="K200" i="4" s="1"/>
  <c r="L200" i="4" s="1"/>
  <c r="F201" i="4"/>
  <c r="H201" i="4" s="1"/>
  <c r="J201" i="4" s="1"/>
  <c r="K201" i="4" s="1"/>
  <c r="L201" i="4" s="1"/>
  <c r="F202" i="4"/>
  <c r="F203" i="4"/>
  <c r="F204" i="4"/>
  <c r="F205" i="4"/>
  <c r="G205" i="4" s="1"/>
  <c r="F206" i="4"/>
  <c r="I206" i="4" s="1"/>
  <c r="F207" i="4"/>
  <c r="G207" i="4" s="1"/>
  <c r="F208" i="4"/>
  <c r="I208" i="4" s="1"/>
  <c r="F209" i="4"/>
  <c r="G209" i="4" s="1"/>
  <c r="F210" i="4"/>
  <c r="H210" i="4" s="1"/>
  <c r="J210" i="4" s="1"/>
  <c r="K210" i="4" s="1"/>
  <c r="L210" i="4" s="1"/>
  <c r="F211" i="4"/>
  <c r="G211" i="4" s="1"/>
  <c r="F212" i="4"/>
  <c r="F213" i="4"/>
  <c r="I213" i="4" s="1"/>
  <c r="F214" i="4"/>
  <c r="H214" i="4" s="1"/>
  <c r="F215" i="4"/>
  <c r="F216" i="4"/>
  <c r="F217" i="4"/>
  <c r="F218" i="4"/>
  <c r="F219" i="4"/>
  <c r="G219" i="4" s="1"/>
  <c r="F220" i="4"/>
  <c r="H220" i="4" s="1"/>
  <c r="F221" i="4"/>
  <c r="G221" i="4" s="1"/>
  <c r="F222" i="4"/>
  <c r="H222" i="4" s="1"/>
  <c r="F223" i="4"/>
  <c r="G223" i="4" s="1"/>
  <c r="F224" i="4"/>
  <c r="F225" i="4"/>
  <c r="F226" i="4"/>
  <c r="G226" i="4" s="1"/>
  <c r="F227" i="4"/>
  <c r="F228" i="4"/>
  <c r="H228" i="4" s="1"/>
  <c r="F229" i="4"/>
  <c r="G229" i="4" s="1"/>
  <c r="F230" i="4"/>
  <c r="G2" i="4"/>
  <c r="G3" i="4"/>
  <c r="G4" i="4"/>
  <c r="G6" i="4"/>
  <c r="G7" i="4"/>
  <c r="G9" i="4"/>
  <c r="G10" i="4"/>
  <c r="G11" i="4"/>
  <c r="G12" i="4"/>
  <c r="G14" i="4"/>
  <c r="G15" i="4"/>
  <c r="G17" i="4"/>
  <c r="G18" i="4"/>
  <c r="G19" i="4"/>
  <c r="G20" i="4"/>
  <c r="G21" i="4"/>
  <c r="G22" i="4"/>
  <c r="G23" i="4"/>
  <c r="G25" i="4"/>
  <c r="G26" i="4"/>
  <c r="G27" i="4"/>
  <c r="G28" i="4"/>
  <c r="G29" i="4"/>
  <c r="G30" i="4"/>
  <c r="G34" i="4"/>
  <c r="G35" i="4"/>
  <c r="G36" i="4"/>
  <c r="G39" i="4"/>
  <c r="G42" i="4"/>
  <c r="G43" i="4"/>
  <c r="G44" i="4"/>
  <c r="G46" i="4"/>
  <c r="G47" i="4"/>
  <c r="G50" i="4"/>
  <c r="G51" i="4"/>
  <c r="G52" i="4"/>
  <c r="G53" i="4"/>
  <c r="G54" i="4"/>
  <c r="G55" i="4"/>
  <c r="G58" i="4"/>
  <c r="G59" i="4"/>
  <c r="G60" i="4"/>
  <c r="G61" i="4"/>
  <c r="G62" i="4"/>
  <c r="G63" i="4"/>
  <c r="G66" i="4"/>
  <c r="G67" i="4"/>
  <c r="G68" i="4"/>
  <c r="G69" i="4"/>
  <c r="G72" i="4"/>
  <c r="G73" i="4"/>
  <c r="G74" i="4"/>
  <c r="G75" i="4"/>
  <c r="G76" i="4"/>
  <c r="G80" i="4"/>
  <c r="G81" i="4"/>
  <c r="G82" i="4"/>
  <c r="G83" i="4"/>
  <c r="G84" i="4"/>
  <c r="G87" i="4"/>
  <c r="G88" i="4"/>
  <c r="G89" i="4"/>
  <c r="G90" i="4"/>
  <c r="G91" i="4"/>
  <c r="G92" i="4"/>
  <c r="G93" i="4"/>
  <c r="G95" i="4"/>
  <c r="G96" i="4"/>
  <c r="G97" i="4"/>
  <c r="G98" i="4"/>
  <c r="G99" i="4"/>
  <c r="G100" i="4"/>
  <c r="G103" i="4"/>
  <c r="G105" i="4"/>
  <c r="G106" i="4"/>
  <c r="G107" i="4"/>
  <c r="G108" i="4"/>
  <c r="G111" i="4"/>
  <c r="G112" i="4"/>
  <c r="G113" i="4"/>
  <c r="G114" i="4"/>
  <c r="G115" i="4"/>
  <c r="G122" i="4"/>
  <c r="G123" i="4"/>
  <c r="G124" i="4"/>
  <c r="G126" i="4"/>
  <c r="G127" i="4"/>
  <c r="G129" i="4"/>
  <c r="G133" i="4"/>
  <c r="G135" i="4"/>
  <c r="G137" i="4"/>
  <c r="G138" i="4"/>
  <c r="G140" i="4"/>
  <c r="G143" i="4"/>
  <c r="G146" i="4"/>
  <c r="G147" i="4"/>
  <c r="G155" i="4"/>
  <c r="G156" i="4"/>
  <c r="G157" i="4"/>
  <c r="G159" i="4"/>
  <c r="G163" i="4"/>
  <c r="G164" i="4"/>
  <c r="G167" i="4"/>
  <c r="G172" i="4"/>
  <c r="G175" i="4"/>
  <c r="G178" i="4"/>
  <c r="G179" i="4"/>
  <c r="G180" i="4"/>
  <c r="G183" i="4"/>
  <c r="G186" i="4"/>
  <c r="G187" i="4"/>
  <c r="G188" i="4"/>
  <c r="G191" i="4"/>
  <c r="G196" i="4"/>
  <c r="G204" i="4"/>
  <c r="G210" i="4"/>
  <c r="G218" i="4"/>
  <c r="G220" i="4"/>
  <c r="H2" i="4"/>
  <c r="H3" i="4"/>
  <c r="J3" i="4" s="1"/>
  <c r="K3" i="4" s="1"/>
  <c r="L3" i="4" s="1"/>
  <c r="O3" i="4" s="1"/>
  <c r="H4" i="4"/>
  <c r="J4" i="4" s="1"/>
  <c r="H7" i="4"/>
  <c r="J7" i="4" s="1"/>
  <c r="H8" i="4"/>
  <c r="J8" i="4" s="1"/>
  <c r="K8" i="4" s="1"/>
  <c r="L8" i="4" s="1"/>
  <c r="H9" i="4"/>
  <c r="J9" i="4" s="1"/>
  <c r="H10" i="4"/>
  <c r="J10" i="4" s="1"/>
  <c r="H11" i="4"/>
  <c r="J11" i="4" s="1"/>
  <c r="K11" i="4" s="1"/>
  <c r="L11" i="4" s="1"/>
  <c r="H12" i="4"/>
  <c r="J12" i="4" s="1"/>
  <c r="H13" i="4"/>
  <c r="J13" i="4" s="1"/>
  <c r="K13" i="4" s="1"/>
  <c r="L13" i="4" s="1"/>
  <c r="M13" i="4" s="1"/>
  <c r="H15" i="4"/>
  <c r="J15" i="4" s="1"/>
  <c r="H16" i="4"/>
  <c r="H17" i="4"/>
  <c r="J17" i="4" s="1"/>
  <c r="K17" i="4" s="1"/>
  <c r="L17" i="4" s="1"/>
  <c r="H18" i="4"/>
  <c r="J18" i="4" s="1"/>
  <c r="H19" i="4"/>
  <c r="J19" i="4" s="1"/>
  <c r="K19" i="4" s="1"/>
  <c r="L19" i="4" s="1"/>
  <c r="H20" i="4"/>
  <c r="J20" i="4" s="1"/>
  <c r="H23" i="4"/>
  <c r="J23" i="4" s="1"/>
  <c r="H24" i="4"/>
  <c r="H25" i="4"/>
  <c r="H26" i="4"/>
  <c r="H27" i="4"/>
  <c r="H28" i="4"/>
  <c r="J28" i="4" s="1"/>
  <c r="H29" i="4"/>
  <c r="J29" i="4" s="1"/>
  <c r="K29" i="4" s="1"/>
  <c r="L29" i="4" s="1"/>
  <c r="H32" i="4"/>
  <c r="J32" i="4" s="1"/>
  <c r="K32" i="4" s="1"/>
  <c r="L32" i="4" s="1"/>
  <c r="N32" i="4" s="1"/>
  <c r="H33" i="4"/>
  <c r="J33" i="4" s="1"/>
  <c r="K33" i="4" s="1"/>
  <c r="L33" i="4" s="1"/>
  <c r="N33" i="4" s="1"/>
  <c r="H34" i="4"/>
  <c r="J34" i="4" s="1"/>
  <c r="K34" i="4" s="1"/>
  <c r="H35" i="4"/>
  <c r="H36" i="4"/>
  <c r="J36" i="4" s="1"/>
  <c r="H37" i="4"/>
  <c r="H39" i="4"/>
  <c r="J39" i="4" s="1"/>
  <c r="H40" i="4"/>
  <c r="H41" i="4"/>
  <c r="J41" i="4" s="1"/>
  <c r="K41" i="4" s="1"/>
  <c r="L41" i="4" s="1"/>
  <c r="N41" i="4" s="1"/>
  <c r="H42" i="4"/>
  <c r="J42" i="4" s="1"/>
  <c r="K42" i="4" s="1"/>
  <c r="H43" i="4"/>
  <c r="H44" i="4"/>
  <c r="H47" i="4"/>
  <c r="H48" i="4"/>
  <c r="J48" i="4" s="1"/>
  <c r="H49" i="4"/>
  <c r="H50" i="4"/>
  <c r="H51" i="4"/>
  <c r="J51" i="4" s="1"/>
  <c r="K51" i="4" s="1"/>
  <c r="L51" i="4" s="1"/>
  <c r="H52" i="4"/>
  <c r="J52" i="4" s="1"/>
  <c r="H53" i="4"/>
  <c r="J53" i="4" s="1"/>
  <c r="K53" i="4" s="1"/>
  <c r="L53" i="4" s="1"/>
  <c r="H55" i="4"/>
  <c r="H56" i="4"/>
  <c r="J56" i="4" s="1"/>
  <c r="K56" i="4" s="1"/>
  <c r="L56" i="4" s="1"/>
  <c r="H57" i="4"/>
  <c r="J57" i="4" s="1"/>
  <c r="K57" i="4" s="1"/>
  <c r="L57" i="4" s="1"/>
  <c r="H58" i="4"/>
  <c r="H59" i="4"/>
  <c r="H60" i="4"/>
  <c r="H63" i="4"/>
  <c r="J63" i="4" s="1"/>
  <c r="H64" i="4"/>
  <c r="J64" i="4" s="1"/>
  <c r="H66" i="4"/>
  <c r="K66" i="4" s="1"/>
  <c r="H67" i="4"/>
  <c r="H68" i="4"/>
  <c r="J68" i="4" s="1"/>
  <c r="H70" i="4"/>
  <c r="J70" i="4" s="1"/>
  <c r="H74" i="4"/>
  <c r="J74" i="4" s="1"/>
  <c r="K74" i="4" s="1"/>
  <c r="H75" i="4"/>
  <c r="J75" i="4" s="1"/>
  <c r="K75" i="4" s="1"/>
  <c r="L75" i="4" s="1"/>
  <c r="H76" i="4"/>
  <c r="H80" i="4"/>
  <c r="J80" i="4" s="1"/>
  <c r="H81" i="4"/>
  <c r="H82" i="4"/>
  <c r="H83" i="4"/>
  <c r="J83" i="4" s="1"/>
  <c r="K83" i="4" s="1"/>
  <c r="L83" i="4" s="1"/>
  <c r="H84" i="4"/>
  <c r="J84" i="4" s="1"/>
  <c r="H86" i="4"/>
  <c r="J86" i="4" s="1"/>
  <c r="K86" i="4" s="1"/>
  <c r="L86" i="4" s="1"/>
  <c r="M86" i="4" s="1"/>
  <c r="H87" i="4"/>
  <c r="J87" i="4" s="1"/>
  <c r="H88" i="4"/>
  <c r="J88" i="4" s="1"/>
  <c r="H89" i="4"/>
  <c r="H90" i="4"/>
  <c r="J90" i="4" s="1"/>
  <c r="H91" i="4"/>
  <c r="H92" i="4"/>
  <c r="J92" i="4" s="1"/>
  <c r="H94" i="4"/>
  <c r="J94" i="4" s="1"/>
  <c r="H95" i="4"/>
  <c r="J95" i="4" s="1"/>
  <c r="H96" i="4"/>
  <c r="H97" i="4"/>
  <c r="J97" i="4" s="1"/>
  <c r="K97" i="4" s="1"/>
  <c r="L97" i="4" s="1"/>
  <c r="H98" i="4"/>
  <c r="J98" i="4" s="1"/>
  <c r="K98" i="4" s="1"/>
  <c r="H99" i="4"/>
  <c r="H100" i="4"/>
  <c r="J100" i="4" s="1"/>
  <c r="H103" i="4"/>
  <c r="J103" i="4" s="1"/>
  <c r="H104" i="4"/>
  <c r="H105" i="4"/>
  <c r="J105" i="4" s="1"/>
  <c r="H106" i="4"/>
  <c r="J106" i="4" s="1"/>
  <c r="K106" i="4" s="1"/>
  <c r="H107" i="4"/>
  <c r="J107" i="4" s="1"/>
  <c r="K107" i="4" s="1"/>
  <c r="L107" i="4" s="1"/>
  <c r="O107" i="4" s="1"/>
  <c r="H108" i="4"/>
  <c r="J108" i="4" s="1"/>
  <c r="H110" i="4"/>
  <c r="J110" i="4" s="1"/>
  <c r="K110" i="4" s="1"/>
  <c r="L110" i="4" s="1"/>
  <c r="H111" i="4"/>
  <c r="J111" i="4" s="1"/>
  <c r="H112" i="4"/>
  <c r="J112" i="4" s="1"/>
  <c r="K112" i="4" s="1"/>
  <c r="L112" i="4" s="1"/>
  <c r="H113" i="4"/>
  <c r="H114" i="4"/>
  <c r="J114" i="4" s="1"/>
  <c r="H115" i="4"/>
  <c r="J115" i="4" s="1"/>
  <c r="K115" i="4" s="1"/>
  <c r="L115" i="4" s="1"/>
  <c r="H119" i="4"/>
  <c r="J119" i="4" s="1"/>
  <c r="H120" i="4"/>
  <c r="H121" i="4"/>
  <c r="J121" i="4" s="1"/>
  <c r="K121" i="4" s="1"/>
  <c r="L121" i="4" s="1"/>
  <c r="H122" i="4"/>
  <c r="H123" i="4"/>
  <c r="H124" i="4"/>
  <c r="J124" i="4" s="1"/>
  <c r="H127" i="4"/>
  <c r="J127" i="4" s="1"/>
  <c r="H130" i="4"/>
  <c r="J130" i="4" s="1"/>
  <c r="H131" i="4"/>
  <c r="J131" i="4" s="1"/>
  <c r="K131" i="4" s="1"/>
  <c r="L131" i="4" s="1"/>
  <c r="O131" i="4" s="1"/>
  <c r="H134" i="4"/>
  <c r="J134" i="4" s="1"/>
  <c r="K134" i="4" s="1"/>
  <c r="L134" i="4" s="1"/>
  <c r="M134" i="4" s="1"/>
  <c r="H135" i="4"/>
  <c r="H138" i="4"/>
  <c r="J138" i="4" s="1"/>
  <c r="H139" i="4"/>
  <c r="J139" i="4" s="1"/>
  <c r="H140" i="4"/>
  <c r="H142" i="4"/>
  <c r="H143" i="4"/>
  <c r="J143" i="4" s="1"/>
  <c r="H144" i="4"/>
  <c r="J144" i="4" s="1"/>
  <c r="K144" i="4" s="1"/>
  <c r="L144" i="4" s="1"/>
  <c r="H146" i="4"/>
  <c r="J146" i="4" s="1"/>
  <c r="K146" i="4" s="1"/>
  <c r="L146" i="4" s="1"/>
  <c r="N146" i="4" s="1"/>
  <c r="H147" i="4"/>
  <c r="J147" i="4" s="1"/>
  <c r="K147" i="4" s="1"/>
  <c r="L147" i="4" s="1"/>
  <c r="O147" i="4" s="1"/>
  <c r="H151" i="4"/>
  <c r="J151" i="4" s="1"/>
  <c r="H152" i="4"/>
  <c r="H153" i="4"/>
  <c r="H155" i="4"/>
  <c r="H156" i="4"/>
  <c r="J156" i="4" s="1"/>
  <c r="H157" i="4"/>
  <c r="J157" i="4" s="1"/>
  <c r="K157" i="4" s="1"/>
  <c r="L157" i="4" s="1"/>
  <c r="H158" i="4"/>
  <c r="H159" i="4"/>
  <c r="J159" i="4" s="1"/>
  <c r="H162" i="4"/>
  <c r="J162" i="4" s="1"/>
  <c r="K162" i="4" s="1"/>
  <c r="L162" i="4" s="1"/>
  <c r="N162" i="4" s="1"/>
  <c r="H163" i="4"/>
  <c r="H164" i="4"/>
  <c r="J164" i="4" s="1"/>
  <c r="H167" i="4"/>
  <c r="J167" i="4" s="1"/>
  <c r="H168" i="4"/>
  <c r="J168" i="4" s="1"/>
  <c r="H170" i="4"/>
  <c r="J170" i="4" s="1"/>
  <c r="H172" i="4"/>
  <c r="J172" i="4" s="1"/>
  <c r="H173" i="4"/>
  <c r="J173" i="4" s="1"/>
  <c r="H178" i="4"/>
  <c r="H179" i="4"/>
  <c r="H180" i="4"/>
  <c r="J180" i="4" s="1"/>
  <c r="H182" i="4"/>
  <c r="J182" i="4" s="1"/>
  <c r="H183" i="4"/>
  <c r="J183" i="4" s="1"/>
  <c r="H186" i="4"/>
  <c r="J186" i="4" s="1"/>
  <c r="K186" i="4" s="1"/>
  <c r="L186" i="4" s="1"/>
  <c r="M186" i="4" s="1"/>
  <c r="H187" i="4"/>
  <c r="J187" i="4" s="1"/>
  <c r="K187" i="4" s="1"/>
  <c r="L187" i="4" s="1"/>
  <c r="O187" i="4" s="1"/>
  <c r="H188" i="4"/>
  <c r="H190" i="4"/>
  <c r="J190" i="4" s="1"/>
  <c r="H191" i="4"/>
  <c r="H195" i="4"/>
  <c r="J195" i="4" s="1"/>
  <c r="H196" i="4"/>
  <c r="J196" i="4" s="1"/>
  <c r="H198" i="4"/>
  <c r="J198" i="4" s="1"/>
  <c r="K198" i="4" s="1"/>
  <c r="L198" i="4" s="1"/>
  <c r="H199" i="4"/>
  <c r="J199" i="4" s="1"/>
  <c r="H204" i="4"/>
  <c r="H206" i="4"/>
  <c r="J206" i="4" s="1"/>
  <c r="K206" i="4" s="1"/>
  <c r="H207" i="4"/>
  <c r="H216" i="4"/>
  <c r="J216" i="4" s="1"/>
  <c r="K216" i="4" s="1"/>
  <c r="L216" i="4" s="1"/>
  <c r="N216" i="4" s="1"/>
  <c r="H218" i="4"/>
  <c r="J218" i="4" s="1"/>
  <c r="K218" i="4" s="1"/>
  <c r="L218" i="4" s="1"/>
  <c r="H223" i="4"/>
  <c r="H226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6" i="4"/>
  <c r="I67" i="4"/>
  <c r="I68" i="4"/>
  <c r="I69" i="4"/>
  <c r="I72" i="4"/>
  <c r="I73" i="4"/>
  <c r="I74" i="4"/>
  <c r="I75" i="4"/>
  <c r="I76" i="4"/>
  <c r="I77" i="4"/>
  <c r="I81" i="4"/>
  <c r="I82" i="4"/>
  <c r="I83" i="4"/>
  <c r="I84" i="4"/>
  <c r="I86" i="4"/>
  <c r="I87" i="4"/>
  <c r="I88" i="4"/>
  <c r="I90" i="4"/>
  <c r="I91" i="4"/>
  <c r="I92" i="4"/>
  <c r="I93" i="4"/>
  <c r="I94" i="4"/>
  <c r="I95" i="4"/>
  <c r="I96" i="4"/>
  <c r="I98" i="4"/>
  <c r="I99" i="4"/>
  <c r="I100" i="4"/>
  <c r="I101" i="4"/>
  <c r="I103" i="4"/>
  <c r="I104" i="4"/>
  <c r="I105" i="4"/>
  <c r="I106" i="4"/>
  <c r="I107" i="4"/>
  <c r="I108" i="4"/>
  <c r="I109" i="4"/>
  <c r="I111" i="4"/>
  <c r="I112" i="4"/>
  <c r="I113" i="4"/>
  <c r="I114" i="4"/>
  <c r="I115" i="4"/>
  <c r="I117" i="4"/>
  <c r="I119" i="4"/>
  <c r="I120" i="4"/>
  <c r="I121" i="4"/>
  <c r="I122" i="4"/>
  <c r="I123" i="4"/>
  <c r="I124" i="4"/>
  <c r="I126" i="4"/>
  <c r="I127" i="4"/>
  <c r="I129" i="4"/>
  <c r="I130" i="4"/>
  <c r="I131" i="4"/>
  <c r="I133" i="4"/>
  <c r="I135" i="4"/>
  <c r="I136" i="4"/>
  <c r="I137" i="4"/>
  <c r="I138" i="4"/>
  <c r="I139" i="4"/>
  <c r="I140" i="4"/>
  <c r="I142" i="4"/>
  <c r="I143" i="4"/>
  <c r="I145" i="4"/>
  <c r="I146" i="4"/>
  <c r="I147" i="4"/>
  <c r="I149" i="4"/>
  <c r="I151" i="4"/>
  <c r="I152" i="4"/>
  <c r="I155" i="4"/>
  <c r="I156" i="4"/>
  <c r="I157" i="4"/>
  <c r="I158" i="4"/>
  <c r="I159" i="4"/>
  <c r="I160" i="4"/>
  <c r="I164" i="4"/>
  <c r="I165" i="4"/>
  <c r="I166" i="4"/>
  <c r="I167" i="4"/>
  <c r="I168" i="4"/>
  <c r="I169" i="4"/>
  <c r="I172" i="4"/>
  <c r="I175" i="4"/>
  <c r="I176" i="4"/>
  <c r="I178" i="4"/>
  <c r="I179" i="4"/>
  <c r="I180" i="4"/>
  <c r="I183" i="4"/>
  <c r="I184" i="4"/>
  <c r="I185" i="4"/>
  <c r="I186" i="4"/>
  <c r="I187" i="4"/>
  <c r="I188" i="4"/>
  <c r="I189" i="4"/>
  <c r="I191" i="4"/>
  <c r="I193" i="4"/>
  <c r="I194" i="4"/>
  <c r="I195" i="4"/>
  <c r="I196" i="4"/>
  <c r="I199" i="4"/>
  <c r="I202" i="4"/>
  <c r="I203" i="4"/>
  <c r="I204" i="4"/>
  <c r="I205" i="4"/>
  <c r="I207" i="4"/>
  <c r="I211" i="4"/>
  <c r="I214" i="4"/>
  <c r="I215" i="4"/>
  <c r="I218" i="4"/>
  <c r="I219" i="4"/>
  <c r="I220" i="4"/>
  <c r="I226" i="4"/>
  <c r="I228" i="4"/>
  <c r="J2" i="4"/>
  <c r="K2" i="4" s="1"/>
  <c r="J6" i="4"/>
  <c r="J14" i="4"/>
  <c r="K14" i="4" s="1"/>
  <c r="L14" i="4" s="1"/>
  <c r="J24" i="4"/>
  <c r="J27" i="4"/>
  <c r="J37" i="4"/>
  <c r="J38" i="4"/>
  <c r="K38" i="4" s="1"/>
  <c r="L38" i="4" s="1"/>
  <c r="M38" i="4" s="1"/>
  <c r="J43" i="4"/>
  <c r="J46" i="4"/>
  <c r="J47" i="4"/>
  <c r="J49" i="4"/>
  <c r="J50" i="4"/>
  <c r="J55" i="4"/>
  <c r="J58" i="4"/>
  <c r="J59" i="4"/>
  <c r="J66" i="4"/>
  <c r="J81" i="4"/>
  <c r="K81" i="4" s="1"/>
  <c r="L81" i="4" s="1"/>
  <c r="J82" i="4"/>
  <c r="J91" i="4"/>
  <c r="J96" i="4"/>
  <c r="K96" i="4" s="1"/>
  <c r="L96" i="4" s="1"/>
  <c r="J99" i="4"/>
  <c r="J113" i="4"/>
  <c r="K113" i="4" s="1"/>
  <c r="L113" i="4" s="1"/>
  <c r="N113" i="4" s="1"/>
  <c r="J120" i="4"/>
  <c r="K120" i="4" s="1"/>
  <c r="L120" i="4" s="1"/>
  <c r="J122" i="4"/>
  <c r="J135" i="4"/>
  <c r="J136" i="4"/>
  <c r="K136" i="4" s="1"/>
  <c r="L136" i="4" s="1"/>
  <c r="J142" i="4"/>
  <c r="J152" i="4"/>
  <c r="K152" i="4" s="1"/>
  <c r="L152" i="4" s="1"/>
  <c r="J153" i="4"/>
  <c r="K153" i="4" s="1"/>
  <c r="L153" i="4" s="1"/>
  <c r="J155" i="4"/>
  <c r="J163" i="4"/>
  <c r="K163" i="4" s="1"/>
  <c r="L163" i="4" s="1"/>
  <c r="N163" i="4" s="1"/>
  <c r="J175" i="4"/>
  <c r="J178" i="4"/>
  <c r="J179" i="4"/>
  <c r="K179" i="4" s="1"/>
  <c r="L179" i="4" s="1"/>
  <c r="J191" i="4"/>
  <c r="J192" i="4"/>
  <c r="K192" i="4" s="1"/>
  <c r="L192" i="4" s="1"/>
  <c r="J207" i="4"/>
  <c r="J214" i="4"/>
  <c r="K214" i="4" s="1"/>
  <c r="J222" i="4"/>
  <c r="K222" i="4" s="1"/>
  <c r="L222" i="4" s="1"/>
  <c r="J223" i="4"/>
  <c r="J226" i="4"/>
  <c r="K226" i="4" s="1"/>
  <c r="L226" i="4" s="1"/>
  <c r="K4" i="4"/>
  <c r="L4" i="4" s="1"/>
  <c r="O4" i="4" s="1"/>
  <c r="K12" i="4"/>
  <c r="L12" i="4" s="1"/>
  <c r="K18" i="4"/>
  <c r="K20" i="4"/>
  <c r="L20" i="4" s="1"/>
  <c r="K24" i="4"/>
  <c r="L24" i="4" s="1"/>
  <c r="K46" i="4"/>
  <c r="L46" i="4" s="1"/>
  <c r="M46" i="4" s="1"/>
  <c r="K49" i="4"/>
  <c r="L49" i="4" s="1"/>
  <c r="K50" i="4"/>
  <c r="K52" i="4"/>
  <c r="L52" i="4" s="1"/>
  <c r="N52" i="4" s="1"/>
  <c r="K58" i="4"/>
  <c r="K68" i="4"/>
  <c r="L68" i="4" s="1"/>
  <c r="M68" i="4" s="1"/>
  <c r="K70" i="4"/>
  <c r="L70" i="4" s="1"/>
  <c r="K82" i="4"/>
  <c r="K84" i="4"/>
  <c r="K91" i="4"/>
  <c r="L91" i="4" s="1"/>
  <c r="K92" i="4"/>
  <c r="L92" i="4" s="1"/>
  <c r="K99" i="4"/>
  <c r="L99" i="4" s="1"/>
  <c r="K100" i="4"/>
  <c r="L100" i="4" s="1"/>
  <c r="K105" i="4"/>
  <c r="L105" i="4" s="1"/>
  <c r="N105" i="4" s="1"/>
  <c r="K108" i="4"/>
  <c r="L108" i="4" s="1"/>
  <c r="N108" i="4" s="1"/>
  <c r="K130" i="4"/>
  <c r="L130" i="4" s="1"/>
  <c r="N130" i="4" s="1"/>
  <c r="K155" i="4"/>
  <c r="L155" i="4" s="1"/>
  <c r="O155" i="4" s="1"/>
  <c r="K156" i="4"/>
  <c r="L156" i="4" s="1"/>
  <c r="K170" i="4"/>
  <c r="L170" i="4" s="1"/>
  <c r="M170" i="4" s="1"/>
  <c r="K172" i="4"/>
  <c r="L172" i="4" s="1"/>
  <c r="K193" i="4"/>
  <c r="L193" i="4" s="1"/>
  <c r="K195" i="4"/>
  <c r="L195" i="4" s="1"/>
  <c r="K196" i="4"/>
  <c r="L196" i="4" s="1"/>
  <c r="N196" i="4" s="1"/>
  <c r="L84" i="4"/>
  <c r="L145" i="4"/>
  <c r="M33" i="4"/>
  <c r="M41" i="4"/>
  <c r="M107" i="4"/>
  <c r="N107" i="4"/>
  <c r="O32" i="4"/>
  <c r="O41" i="4"/>
  <c r="B6" i="7"/>
  <c r="C22" i="6"/>
  <c r="D22" i="6" s="1"/>
  <c r="C21" i="6"/>
  <c r="D21" i="6" s="1"/>
  <c r="C13" i="6"/>
  <c r="C7" i="6"/>
  <c r="C10" i="1"/>
  <c r="B3" i="6" s="1"/>
  <c r="C9" i="1"/>
  <c r="C5" i="1"/>
  <c r="K35" i="4" l="1"/>
  <c r="L35" i="4" s="1"/>
  <c r="O35" i="4" s="1"/>
  <c r="J77" i="4"/>
  <c r="K77" i="4" s="1"/>
  <c r="L77" i="4" s="1"/>
  <c r="J61" i="4"/>
  <c r="K61" i="4" s="1"/>
  <c r="L61" i="4" s="1"/>
  <c r="J69" i="4"/>
  <c r="K69" i="4" s="1"/>
  <c r="L69" i="4" s="1"/>
  <c r="K28" i="4"/>
  <c r="L28" i="4" s="1"/>
  <c r="I200" i="4"/>
  <c r="I181" i="4"/>
  <c r="G165" i="4"/>
  <c r="G149" i="4"/>
  <c r="G117" i="4"/>
  <c r="G77" i="4"/>
  <c r="G45" i="4"/>
  <c r="K114" i="4"/>
  <c r="L114" i="4" s="1"/>
  <c r="O114" i="4" s="1"/>
  <c r="I197" i="4"/>
  <c r="H213" i="4"/>
  <c r="J213" i="4" s="1"/>
  <c r="K213" i="4" s="1"/>
  <c r="L213" i="4" s="1"/>
  <c r="H197" i="4"/>
  <c r="J197" i="4" s="1"/>
  <c r="K197" i="4" s="1"/>
  <c r="L197" i="4" s="1"/>
  <c r="M197" i="4" s="1"/>
  <c r="K37" i="4"/>
  <c r="L37" i="4" s="1"/>
  <c r="G189" i="4"/>
  <c r="J35" i="4"/>
  <c r="G213" i="4"/>
  <c r="G176" i="4"/>
  <c r="J67" i="4"/>
  <c r="K67" i="4" s="1"/>
  <c r="L67" i="4" s="1"/>
  <c r="H205" i="4"/>
  <c r="J205" i="4" s="1"/>
  <c r="K205" i="4" s="1"/>
  <c r="L205" i="4" s="1"/>
  <c r="H181" i="4"/>
  <c r="H101" i="4"/>
  <c r="J101" i="4" s="1"/>
  <c r="K101" i="4" s="1"/>
  <c r="L101" i="4" s="1"/>
  <c r="H5" i="4"/>
  <c r="G173" i="4"/>
  <c r="K182" i="4"/>
  <c r="L182" i="4" s="1"/>
  <c r="M182" i="4" s="1"/>
  <c r="K94" i="4"/>
  <c r="L94" i="4" s="1"/>
  <c r="H109" i="4"/>
  <c r="J109" i="4" s="1"/>
  <c r="K109" i="4" s="1"/>
  <c r="L109" i="4" s="1"/>
  <c r="M109" i="4" s="1"/>
  <c r="K48" i="4"/>
  <c r="L48" i="4" s="1"/>
  <c r="M48" i="4" s="1"/>
  <c r="G200" i="4"/>
  <c r="K180" i="4"/>
  <c r="L180" i="4" s="1"/>
  <c r="K124" i="4"/>
  <c r="L124" i="4" s="1"/>
  <c r="K88" i="4"/>
  <c r="L88" i="4" s="1"/>
  <c r="M88" i="4" s="1"/>
  <c r="I192" i="4"/>
  <c r="H221" i="4"/>
  <c r="J221" i="4" s="1"/>
  <c r="K221" i="4" s="1"/>
  <c r="L221" i="4" s="1"/>
  <c r="G136" i="4"/>
  <c r="N124" i="4"/>
  <c r="O124" i="4"/>
  <c r="M114" i="4"/>
  <c r="N96" i="4"/>
  <c r="O96" i="4"/>
  <c r="J171" i="4"/>
  <c r="K171" i="4" s="1"/>
  <c r="L171" i="4" s="1"/>
  <c r="J76" i="4"/>
  <c r="K76" i="4" s="1"/>
  <c r="L76" i="4" s="1"/>
  <c r="H217" i="4"/>
  <c r="I217" i="4"/>
  <c r="G185" i="4"/>
  <c r="H185" i="4"/>
  <c r="G153" i="4"/>
  <c r="I153" i="4"/>
  <c r="J104" i="4"/>
  <c r="K104" i="4" s="1"/>
  <c r="L104" i="4" s="1"/>
  <c r="N155" i="4"/>
  <c r="J44" i="4"/>
  <c r="K44" i="4" s="1"/>
  <c r="L44" i="4" s="1"/>
  <c r="J25" i="4"/>
  <c r="K25" i="4" s="1"/>
  <c r="L25" i="4"/>
  <c r="J16" i="4"/>
  <c r="K16" i="4" s="1"/>
  <c r="L16" i="4" s="1"/>
  <c r="G214" i="4"/>
  <c r="I216" i="4"/>
  <c r="G216" i="4"/>
  <c r="J184" i="4"/>
  <c r="K184" i="4" s="1"/>
  <c r="L184" i="4" s="1"/>
  <c r="J72" i="4"/>
  <c r="K72" i="4" s="1"/>
  <c r="L72" i="4" s="1"/>
  <c r="J204" i="4"/>
  <c r="K204" i="4" s="1"/>
  <c r="L204" i="4" s="1"/>
  <c r="K122" i="4"/>
  <c r="L122" i="4" s="1"/>
  <c r="N122" i="4" s="1"/>
  <c r="J26" i="4"/>
  <c r="K26" i="4" s="1"/>
  <c r="L26" i="4" s="1"/>
  <c r="J188" i="4"/>
  <c r="K188" i="4" s="1"/>
  <c r="L188" i="4" s="1"/>
  <c r="K178" i="4"/>
  <c r="L178" i="4" s="1"/>
  <c r="K43" i="4"/>
  <c r="L43" i="4" s="1"/>
  <c r="N43" i="4" s="1"/>
  <c r="G198" i="4"/>
  <c r="G184" i="4"/>
  <c r="G215" i="4"/>
  <c r="H215" i="4"/>
  <c r="J215" i="4" s="1"/>
  <c r="O195" i="4"/>
  <c r="N195" i="4"/>
  <c r="K190" i="4"/>
  <c r="L190" i="4" s="1"/>
  <c r="N190" i="4" s="1"/>
  <c r="J189" i="4"/>
  <c r="K189" i="4" s="1"/>
  <c r="L189" i="4" s="1"/>
  <c r="K173" i="4"/>
  <c r="L173" i="4" s="1"/>
  <c r="J60" i="4"/>
  <c r="K60" i="4"/>
  <c r="L60" i="4" s="1"/>
  <c r="L214" i="4"/>
  <c r="M214" i="4" s="1"/>
  <c r="J126" i="4"/>
  <c r="K126" i="4" s="1"/>
  <c r="L126" i="4" s="1"/>
  <c r="K6" i="4"/>
  <c r="L6" i="4" s="1"/>
  <c r="M6" i="4" s="1"/>
  <c r="K168" i="4"/>
  <c r="L168" i="4" s="1"/>
  <c r="N168" i="4" s="1"/>
  <c r="K142" i="4"/>
  <c r="L142" i="4" s="1"/>
  <c r="K80" i="4"/>
  <c r="L80" i="4" s="1"/>
  <c r="I223" i="4"/>
  <c r="I210" i="4"/>
  <c r="I161" i="4"/>
  <c r="I110" i="4"/>
  <c r="H208" i="4"/>
  <c r="J140" i="4"/>
  <c r="K140" i="4" s="1"/>
  <c r="L140" i="4" s="1"/>
  <c r="K59" i="4"/>
  <c r="L59" i="4" s="1"/>
  <c r="N59" i="4" s="1"/>
  <c r="G208" i="4"/>
  <c r="G192" i="4"/>
  <c r="G182" i="4"/>
  <c r="G145" i="4"/>
  <c r="G70" i="4"/>
  <c r="G38" i="4"/>
  <c r="O163" i="4"/>
  <c r="M163" i="4"/>
  <c r="O88" i="4"/>
  <c r="O33" i="4"/>
  <c r="L206" i="4"/>
  <c r="M206" i="4" s="1"/>
  <c r="K164" i="4"/>
  <c r="L164" i="4" s="1"/>
  <c r="K93" i="4"/>
  <c r="L93" i="4" s="1"/>
  <c r="M93" i="4" s="1"/>
  <c r="K36" i="4"/>
  <c r="L36" i="4" s="1"/>
  <c r="K10" i="4"/>
  <c r="I222" i="4"/>
  <c r="I190" i="4"/>
  <c r="I118" i="4"/>
  <c r="H160" i="4"/>
  <c r="K139" i="4"/>
  <c r="L139" i="4" s="1"/>
  <c r="O139" i="4" s="1"/>
  <c r="K90" i="4"/>
  <c r="J40" i="4"/>
  <c r="K40" i="4" s="1"/>
  <c r="L40" i="4" s="1"/>
  <c r="G21" i="3"/>
  <c r="H21" i="3" s="1"/>
  <c r="J21" i="3" s="1"/>
  <c r="G144" i="4"/>
  <c r="G134" i="4"/>
  <c r="G118" i="4"/>
  <c r="J89" i="4"/>
  <c r="K89" i="4" s="1"/>
  <c r="L89" i="4" s="1"/>
  <c r="G222" i="4"/>
  <c r="G206" i="4"/>
  <c r="G227" i="4"/>
  <c r="I227" i="4"/>
  <c r="G203" i="4"/>
  <c r="H203" i="4"/>
  <c r="G171" i="4"/>
  <c r="I171" i="4"/>
  <c r="J158" i="4"/>
  <c r="K158" i="4" s="1"/>
  <c r="L158" i="4" s="1"/>
  <c r="J123" i="4"/>
  <c r="K123" i="4" s="1"/>
  <c r="L123" i="4" s="1"/>
  <c r="K27" i="4"/>
  <c r="L27" i="4" s="1"/>
  <c r="K9" i="4"/>
  <c r="L9" i="4" s="1"/>
  <c r="M9" i="4" s="1"/>
  <c r="G166" i="4"/>
  <c r="G202" i="4"/>
  <c r="H202" i="4"/>
  <c r="G194" i="4"/>
  <c r="H194" i="4"/>
  <c r="J194" i="4" s="1"/>
  <c r="K194" i="4" s="1"/>
  <c r="L194" i="4" s="1"/>
  <c r="N194" i="4" s="1"/>
  <c r="G162" i="4"/>
  <c r="I170" i="4"/>
  <c r="M110" i="4"/>
  <c r="O110" i="4"/>
  <c r="N56" i="4"/>
  <c r="O56" i="4"/>
  <c r="N186" i="4"/>
  <c r="O84" i="4"/>
  <c r="M84" i="4"/>
  <c r="J217" i="4"/>
  <c r="K217" i="4" s="1"/>
  <c r="L217" i="4" s="1"/>
  <c r="N36" i="4"/>
  <c r="M36" i="4"/>
  <c r="O186" i="4"/>
  <c r="N57" i="4"/>
  <c r="O57" i="4"/>
  <c r="N9" i="4"/>
  <c r="O9" i="4"/>
  <c r="M32" i="4"/>
  <c r="N153" i="4"/>
  <c r="M153" i="4"/>
  <c r="O59" i="4"/>
  <c r="M59" i="4"/>
  <c r="O162" i="4"/>
  <c r="N145" i="4"/>
  <c r="O145" i="4"/>
  <c r="N97" i="4"/>
  <c r="M97" i="4"/>
  <c r="G22" i="3"/>
  <c r="H22" i="3" s="1"/>
  <c r="M52" i="4"/>
  <c r="G193" i="4"/>
  <c r="N68" i="4"/>
  <c r="O52" i="4"/>
  <c r="N187" i="4"/>
  <c r="K138" i="4"/>
  <c r="L138" i="4" s="1"/>
  <c r="K64" i="4"/>
  <c r="L64" i="4" s="1"/>
  <c r="N64" i="4" s="1"/>
  <c r="H227" i="4"/>
  <c r="J227" i="4" s="1"/>
  <c r="K227" i="4" s="1"/>
  <c r="L227" i="4" s="1"/>
  <c r="N227" i="4" s="1"/>
  <c r="H169" i="4"/>
  <c r="H161" i="4"/>
  <c r="G9" i="3"/>
  <c r="H9" i="3" s="1"/>
  <c r="G17" i="3"/>
  <c r="H17" i="3" s="1"/>
  <c r="G25" i="3"/>
  <c r="H25" i="3" s="1"/>
  <c r="G2" i="3"/>
  <c r="H2" i="3" s="1"/>
  <c r="G11" i="3"/>
  <c r="H11" i="3" s="1"/>
  <c r="G20" i="3"/>
  <c r="H20" i="3" s="1"/>
  <c r="G29" i="3"/>
  <c r="H29" i="3" s="1"/>
  <c r="G7" i="3"/>
  <c r="H7" i="3" s="1"/>
  <c r="G16" i="3"/>
  <c r="H16" i="3" s="1"/>
  <c r="G26" i="3"/>
  <c r="H26" i="3" s="1"/>
  <c r="G35" i="3"/>
  <c r="H35" i="3" s="1"/>
  <c r="G3" i="3"/>
  <c r="H3" i="3" s="1"/>
  <c r="G14" i="3"/>
  <c r="H14" i="3" s="1"/>
  <c r="G27" i="3"/>
  <c r="H27" i="3" s="1"/>
  <c r="G4" i="3"/>
  <c r="H4" i="3" s="1"/>
  <c r="G15" i="3"/>
  <c r="H15" i="3" s="1"/>
  <c r="G28" i="3"/>
  <c r="H28" i="3" s="1"/>
  <c r="G10" i="3"/>
  <c r="H10" i="3" s="1"/>
  <c r="G13" i="3"/>
  <c r="H13" i="3" s="1"/>
  <c r="G24" i="3"/>
  <c r="H24" i="3" s="1"/>
  <c r="G19" i="3"/>
  <c r="H19" i="3" s="1"/>
  <c r="I209" i="4"/>
  <c r="I201" i="4"/>
  <c r="G201" i="4"/>
  <c r="G18" i="3"/>
  <c r="H18" i="3" s="1"/>
  <c r="H209" i="4"/>
  <c r="J209" i="4" s="1"/>
  <c r="K209" i="4" s="1"/>
  <c r="L209" i="4" s="1"/>
  <c r="O209" i="4" s="1"/>
  <c r="G12" i="3"/>
  <c r="H12" i="3" s="1"/>
  <c r="G8" i="3"/>
  <c r="H8" i="3" s="1"/>
  <c r="G217" i="4"/>
  <c r="G6" i="3"/>
  <c r="H6" i="3" s="1"/>
  <c r="G23" i="3"/>
  <c r="H23" i="3" s="1"/>
  <c r="G5" i="3"/>
  <c r="H5" i="3" s="1"/>
  <c r="M54" i="4"/>
  <c r="O54" i="4"/>
  <c r="M198" i="4"/>
  <c r="O198" i="4"/>
  <c r="M173" i="4"/>
  <c r="O173" i="4"/>
  <c r="N173" i="4"/>
  <c r="M94" i="4"/>
  <c r="O94" i="4"/>
  <c r="M60" i="4"/>
  <c r="O60" i="4"/>
  <c r="N60" i="4"/>
  <c r="N24" i="4"/>
  <c r="O24" i="4"/>
  <c r="M24" i="4"/>
  <c r="N180" i="4"/>
  <c r="M180" i="4"/>
  <c r="O180" i="4"/>
  <c r="M70" i="4"/>
  <c r="O70" i="4"/>
  <c r="N70" i="4"/>
  <c r="N48" i="4"/>
  <c r="N179" i="4"/>
  <c r="M179" i="4"/>
  <c r="O179" i="4"/>
  <c r="O83" i="4"/>
  <c r="M83" i="4"/>
  <c r="N83" i="4"/>
  <c r="N73" i="4"/>
  <c r="O73" i="4"/>
  <c r="N81" i="4"/>
  <c r="O81" i="4"/>
  <c r="M21" i="4"/>
  <c r="O21" i="4"/>
  <c r="N152" i="4"/>
  <c r="M152" i="4"/>
  <c r="O152" i="4"/>
  <c r="N51" i="4"/>
  <c r="M51" i="4"/>
  <c r="O51" i="4"/>
  <c r="O27" i="4"/>
  <c r="N27" i="4"/>
  <c r="M14" i="4"/>
  <c r="O14" i="4"/>
  <c r="N14" i="4"/>
  <c r="J228" i="4"/>
  <c r="K228" i="4" s="1"/>
  <c r="L228" i="4" s="1"/>
  <c r="J220" i="4"/>
  <c r="K220" i="4" s="1"/>
  <c r="L220" i="4" s="1"/>
  <c r="N92" i="4"/>
  <c r="O92" i="4"/>
  <c r="M92" i="4"/>
  <c r="N136" i="4"/>
  <c r="O136" i="4"/>
  <c r="N12" i="4"/>
  <c r="O12" i="4"/>
  <c r="N144" i="4"/>
  <c r="O144" i="4"/>
  <c r="O115" i="4"/>
  <c r="M115" i="4"/>
  <c r="N115" i="4"/>
  <c r="N226" i="4"/>
  <c r="O226" i="4"/>
  <c r="M226" i="4"/>
  <c r="O182" i="4"/>
  <c r="O105" i="4"/>
  <c r="O68" i="4"/>
  <c r="N133" i="4"/>
  <c r="N88" i="4"/>
  <c r="M195" i="4"/>
  <c r="M162" i="4"/>
  <c r="M131" i="4"/>
  <c r="M96" i="4"/>
  <c r="I221" i="4"/>
  <c r="H211" i="4"/>
  <c r="O153" i="4"/>
  <c r="O134" i="4"/>
  <c r="O97" i="4"/>
  <c r="O43" i="4"/>
  <c r="N131" i="4"/>
  <c r="N86" i="4"/>
  <c r="M124" i="4"/>
  <c r="H219" i="4"/>
  <c r="J219" i="4" s="1"/>
  <c r="K219" i="4" s="1"/>
  <c r="L219" i="4" s="1"/>
  <c r="M219" i="4" s="1"/>
  <c r="G228" i="4"/>
  <c r="O206" i="4"/>
  <c r="O133" i="4"/>
  <c r="N170" i="4"/>
  <c r="M43" i="4"/>
  <c r="I229" i="4"/>
  <c r="H229" i="4"/>
  <c r="O146" i="4"/>
  <c r="O38" i="4"/>
  <c r="O93" i="4"/>
  <c r="M146" i="4"/>
  <c r="N182" i="4"/>
  <c r="M57" i="4"/>
  <c r="M35" i="4"/>
  <c r="O170" i="4"/>
  <c r="M139" i="4"/>
  <c r="M105" i="4"/>
  <c r="M56" i="4"/>
  <c r="M118" i="4"/>
  <c r="N118" i="4"/>
  <c r="O118" i="4"/>
  <c r="M157" i="4"/>
  <c r="O157" i="4"/>
  <c r="N157" i="4"/>
  <c r="O100" i="4"/>
  <c r="N100" i="4"/>
  <c r="M100" i="4"/>
  <c r="M29" i="4"/>
  <c r="N29" i="4"/>
  <c r="O19" i="4"/>
  <c r="N19" i="4"/>
  <c r="M19" i="4"/>
  <c r="N193" i="4"/>
  <c r="M193" i="4"/>
  <c r="O193" i="4"/>
  <c r="M190" i="4"/>
  <c r="O190" i="4"/>
  <c r="M53" i="4"/>
  <c r="N53" i="4"/>
  <c r="O53" i="4"/>
  <c r="N192" i="4"/>
  <c r="M192" i="4"/>
  <c r="O192" i="4"/>
  <c r="M166" i="4"/>
  <c r="O166" i="4"/>
  <c r="N166" i="4"/>
  <c r="M222" i="4"/>
  <c r="N222" i="4"/>
  <c r="O222" i="4"/>
  <c r="M165" i="4"/>
  <c r="O165" i="4"/>
  <c r="N165" i="4"/>
  <c r="O156" i="4"/>
  <c r="N156" i="4"/>
  <c r="M156" i="4"/>
  <c r="N121" i="4"/>
  <c r="M121" i="4"/>
  <c r="O121" i="4"/>
  <c r="O99" i="4"/>
  <c r="N99" i="4"/>
  <c r="M99" i="4"/>
  <c r="N49" i="4"/>
  <c r="M49" i="4"/>
  <c r="O49" i="4"/>
  <c r="N28" i="4"/>
  <c r="M28" i="4"/>
  <c r="O28" i="4"/>
  <c r="M227" i="4"/>
  <c r="O227" i="4"/>
  <c r="N129" i="4"/>
  <c r="M129" i="4"/>
  <c r="O129" i="4"/>
  <c r="M62" i="4"/>
  <c r="N62" i="4"/>
  <c r="O62" i="4"/>
  <c r="N200" i="4"/>
  <c r="O200" i="4"/>
  <c r="M200" i="4"/>
  <c r="O201" i="4"/>
  <c r="N201" i="4"/>
  <c r="M201" i="4"/>
  <c r="M213" i="4"/>
  <c r="O213" i="4"/>
  <c r="N213" i="4"/>
  <c r="N112" i="4"/>
  <c r="O112" i="4"/>
  <c r="M112" i="4"/>
  <c r="M221" i="4"/>
  <c r="N221" i="4"/>
  <c r="O221" i="4"/>
  <c r="O164" i="4"/>
  <c r="N164" i="4"/>
  <c r="M164" i="4"/>
  <c r="N120" i="4"/>
  <c r="M120" i="4"/>
  <c r="O120" i="4"/>
  <c r="O109" i="4"/>
  <c r="N109" i="4"/>
  <c r="M37" i="4"/>
  <c r="N37" i="4"/>
  <c r="O37" i="4"/>
  <c r="N17" i="4"/>
  <c r="M17" i="4"/>
  <c r="O17" i="4"/>
  <c r="N8" i="4"/>
  <c r="M8" i="4"/>
  <c r="O8" i="4"/>
  <c r="O75" i="4"/>
  <c r="M75" i="4"/>
  <c r="N75" i="4"/>
  <c r="N172" i="4"/>
  <c r="O172" i="4"/>
  <c r="M172" i="4"/>
  <c r="O210" i="4"/>
  <c r="M210" i="4"/>
  <c r="N210" i="4"/>
  <c r="M101" i="4"/>
  <c r="O101" i="4"/>
  <c r="N101" i="4"/>
  <c r="O91" i="4"/>
  <c r="N91" i="4"/>
  <c r="M91" i="4"/>
  <c r="M30" i="4"/>
  <c r="O30" i="4"/>
  <c r="N30" i="4"/>
  <c r="O20" i="4"/>
  <c r="N20" i="4"/>
  <c r="M20" i="4"/>
  <c r="O11" i="4"/>
  <c r="N11" i="4"/>
  <c r="M11" i="4"/>
  <c r="M218" i="4"/>
  <c r="N218" i="4"/>
  <c r="O218" i="4"/>
  <c r="G65" i="4"/>
  <c r="G116" i="4"/>
  <c r="G132" i="4"/>
  <c r="G78" i="4"/>
  <c r="G102" i="4"/>
  <c r="G71" i="4"/>
  <c r="G79" i="4"/>
  <c r="G128" i="4"/>
  <c r="G177" i="4"/>
  <c r="G212" i="4"/>
  <c r="G230" i="4"/>
  <c r="I230" i="4" s="1"/>
  <c r="G31" i="4"/>
  <c r="G154" i="4"/>
  <c r="G148" i="4"/>
  <c r="G224" i="4"/>
  <c r="G141" i="4"/>
  <c r="G225" i="4"/>
  <c r="G125" i="4"/>
  <c r="G150" i="4"/>
  <c r="G174" i="4"/>
  <c r="G85" i="4"/>
  <c r="O196" i="4"/>
  <c r="O108" i="4"/>
  <c r="O45" i="4"/>
  <c r="N149" i="4"/>
  <c r="N139" i="4"/>
  <c r="N117" i="4"/>
  <c r="N45" i="4"/>
  <c r="N35" i="4"/>
  <c r="N4" i="4"/>
  <c r="M147" i="4"/>
  <c r="M137" i="4"/>
  <c r="M73" i="4"/>
  <c r="O194" i="4"/>
  <c r="O36" i="4"/>
  <c r="N54" i="4"/>
  <c r="N13" i="4"/>
  <c r="N3" i="4"/>
  <c r="M168" i="4"/>
  <c r="M136" i="4"/>
  <c r="M64" i="4"/>
  <c r="M12" i="4"/>
  <c r="M4" i="4"/>
  <c r="O176" i="4"/>
  <c r="O168" i="4"/>
  <c r="O122" i="4"/>
  <c r="N147" i="4"/>
  <c r="N94" i="4"/>
  <c r="N22" i="4"/>
  <c r="M187" i="4"/>
  <c r="M155" i="4"/>
  <c r="M145" i="4"/>
  <c r="M113" i="4"/>
  <c r="M81" i="4"/>
  <c r="M3" i="4"/>
  <c r="O149" i="4"/>
  <c r="O130" i="4"/>
  <c r="O113" i="4"/>
  <c r="O86" i="4"/>
  <c r="N198" i="4"/>
  <c r="N134" i="4"/>
  <c r="N93" i="4"/>
  <c r="N84" i="4"/>
  <c r="N21" i="4"/>
  <c r="M196" i="4"/>
  <c r="M176" i="4"/>
  <c r="M144" i="4"/>
  <c r="M122" i="4"/>
  <c r="O216" i="4"/>
  <c r="N206" i="4"/>
  <c r="N197" i="4"/>
  <c r="O137" i="4"/>
  <c r="O48" i="4"/>
  <c r="O22" i="4"/>
  <c r="O13" i="4"/>
  <c r="N214" i="4"/>
  <c r="N110" i="4"/>
  <c r="N38" i="4"/>
  <c r="M216" i="4"/>
  <c r="M194" i="4"/>
  <c r="M130" i="4"/>
  <c r="M108" i="4"/>
  <c r="M27" i="4"/>
  <c r="O197" i="4"/>
  <c r="O117" i="4"/>
  <c r="O46" i="4"/>
  <c r="N46" i="4"/>
  <c r="K63" i="4"/>
  <c r="L63" i="4" s="1"/>
  <c r="K55" i="4"/>
  <c r="L55" i="4" s="1"/>
  <c r="K47" i="4"/>
  <c r="L47" i="4" s="1"/>
  <c r="K39" i="4"/>
  <c r="L39" i="4" s="1"/>
  <c r="K23" i="4"/>
  <c r="L23" i="4" s="1"/>
  <c r="K15" i="4"/>
  <c r="L15" i="4" s="1"/>
  <c r="K7" i="4"/>
  <c r="L7" i="4" s="1"/>
  <c r="K95" i="4"/>
  <c r="L95" i="4" s="1"/>
  <c r="K87" i="4"/>
  <c r="L87" i="4" s="1"/>
  <c r="K143" i="4"/>
  <c r="L143" i="4" s="1"/>
  <c r="K135" i="4"/>
  <c r="L135" i="4" s="1"/>
  <c r="K127" i="4"/>
  <c r="L127" i="4" s="1"/>
  <c r="K119" i="4"/>
  <c r="L119" i="4" s="1"/>
  <c r="K111" i="4"/>
  <c r="L111" i="4" s="1"/>
  <c r="K103" i="4"/>
  <c r="L103" i="4" s="1"/>
  <c r="K167" i="4"/>
  <c r="L167" i="4" s="1"/>
  <c r="K159" i="4"/>
  <c r="L159" i="4" s="1"/>
  <c r="K151" i="4"/>
  <c r="L151" i="4" s="1"/>
  <c r="K215" i="4"/>
  <c r="L215" i="4" s="1"/>
  <c r="K207" i="4"/>
  <c r="L207" i="4" s="1"/>
  <c r="K199" i="4"/>
  <c r="L199" i="4" s="1"/>
  <c r="K191" i="4"/>
  <c r="L191" i="4" s="1"/>
  <c r="K183" i="4"/>
  <c r="L183" i="4" s="1"/>
  <c r="K175" i="4"/>
  <c r="L175" i="4" s="1"/>
  <c r="K223" i="4"/>
  <c r="L223" i="4" s="1"/>
  <c r="L74" i="4"/>
  <c r="L66" i="4"/>
  <c r="L58" i="4"/>
  <c r="L50" i="4"/>
  <c r="L42" i="4"/>
  <c r="L34" i="4"/>
  <c r="L18" i="4"/>
  <c r="L10" i="4"/>
  <c r="L2" i="4"/>
  <c r="L98" i="4"/>
  <c r="L90" i="4"/>
  <c r="L82" i="4"/>
  <c r="L106" i="4"/>
  <c r="M61" i="4" l="1"/>
  <c r="O61" i="4"/>
  <c r="N61" i="4"/>
  <c r="N44" i="4"/>
  <c r="O44" i="4"/>
  <c r="M44" i="4"/>
  <c r="M69" i="4"/>
  <c r="O69" i="4"/>
  <c r="N69" i="4"/>
  <c r="M77" i="4"/>
  <c r="O77" i="4"/>
  <c r="N205" i="4"/>
  <c r="M205" i="4"/>
  <c r="O205" i="4"/>
  <c r="O67" i="4"/>
  <c r="M67" i="4"/>
  <c r="N67" i="4"/>
  <c r="N184" i="4"/>
  <c r="M184" i="4"/>
  <c r="O184" i="4"/>
  <c r="N6" i="4"/>
  <c r="N209" i="4"/>
  <c r="N114" i="4"/>
  <c r="M209" i="4"/>
  <c r="J5" i="4"/>
  <c r="K5" i="4" s="1"/>
  <c r="L5" i="4" s="1"/>
  <c r="K181" i="4"/>
  <c r="L181" i="4" s="1"/>
  <c r="J181" i="4"/>
  <c r="O6" i="4"/>
  <c r="N80" i="4"/>
  <c r="M80" i="4"/>
  <c r="O80" i="4"/>
  <c r="O140" i="4"/>
  <c r="N140" i="4"/>
  <c r="M140" i="4"/>
  <c r="O123" i="4"/>
  <c r="N123" i="4"/>
  <c r="M123" i="4"/>
  <c r="M76" i="4"/>
  <c r="N76" i="4"/>
  <c r="O76" i="4"/>
  <c r="N188" i="4"/>
  <c r="O188" i="4"/>
  <c r="M188" i="4"/>
  <c r="N104" i="4"/>
  <c r="M104" i="4"/>
  <c r="O104" i="4"/>
  <c r="M126" i="4"/>
  <c r="N126" i="4"/>
  <c r="O126" i="4"/>
  <c r="N16" i="4"/>
  <c r="O16" i="4"/>
  <c r="M16" i="4"/>
  <c r="M72" i="4"/>
  <c r="N72" i="4"/>
  <c r="O72" i="4"/>
  <c r="M142" i="4"/>
  <c r="O142" i="4"/>
  <c r="N142" i="4"/>
  <c r="M189" i="4"/>
  <c r="O189" i="4"/>
  <c r="N189" i="4"/>
  <c r="N40" i="4"/>
  <c r="O40" i="4"/>
  <c r="M40" i="4"/>
  <c r="M158" i="4"/>
  <c r="N158" i="4"/>
  <c r="O158" i="4"/>
  <c r="M171" i="4"/>
  <c r="O171" i="4"/>
  <c r="N171" i="4"/>
  <c r="M204" i="4"/>
  <c r="N204" i="4"/>
  <c r="O204" i="4"/>
  <c r="I21" i="3"/>
  <c r="O214" i="4"/>
  <c r="N77" i="4"/>
  <c r="J203" i="4"/>
  <c r="K203" i="4" s="1"/>
  <c r="L203" i="4" s="1"/>
  <c r="N89" i="4"/>
  <c r="O89" i="4"/>
  <c r="M89" i="4"/>
  <c r="J208" i="4"/>
  <c r="K208" i="4" s="1"/>
  <c r="L208" i="4" s="1"/>
  <c r="J160" i="4"/>
  <c r="K160" i="4" s="1"/>
  <c r="L160" i="4" s="1"/>
  <c r="N178" i="4"/>
  <c r="M178" i="4"/>
  <c r="O178" i="4"/>
  <c r="N25" i="4"/>
  <c r="M25" i="4"/>
  <c r="O25" i="4"/>
  <c r="J202" i="4"/>
  <c r="K202" i="4" s="1"/>
  <c r="L202" i="4" s="1"/>
  <c r="J185" i="4"/>
  <c r="K185" i="4" s="1"/>
  <c r="L185" i="4" s="1"/>
  <c r="M217" i="4"/>
  <c r="N217" i="4"/>
  <c r="O217" i="4"/>
  <c r="I10" i="3"/>
  <c r="J10" i="3"/>
  <c r="J8" i="3"/>
  <c r="I8" i="3"/>
  <c r="I28" i="3"/>
  <c r="J28" i="3"/>
  <c r="N138" i="4"/>
  <c r="O138" i="4"/>
  <c r="M138" i="4"/>
  <c r="I7" i="3"/>
  <c r="J7" i="3"/>
  <c r="I6" i="3"/>
  <c r="J6" i="3"/>
  <c r="I15" i="3"/>
  <c r="J15" i="3"/>
  <c r="I25" i="3"/>
  <c r="J25" i="3"/>
  <c r="J4" i="3"/>
  <c r="I4" i="3"/>
  <c r="I17" i="3"/>
  <c r="J17" i="3"/>
  <c r="I5" i="3"/>
  <c r="J5" i="3"/>
  <c r="J29" i="3"/>
  <c r="I29" i="3"/>
  <c r="I9" i="3"/>
  <c r="J9" i="3"/>
  <c r="J23" i="3"/>
  <c r="I23" i="3"/>
  <c r="I27" i="3"/>
  <c r="J27" i="3"/>
  <c r="I35" i="3"/>
  <c r="J35" i="3"/>
  <c r="J20" i="3"/>
  <c r="I20" i="3"/>
  <c r="J161" i="4"/>
  <c r="K161" i="4" s="1"/>
  <c r="L161" i="4" s="1"/>
  <c r="O64" i="4"/>
  <c r="I18" i="3"/>
  <c r="J18" i="3"/>
  <c r="J24" i="3"/>
  <c r="I24" i="3"/>
  <c r="J14" i="3"/>
  <c r="I14" i="3"/>
  <c r="I26" i="3"/>
  <c r="J26" i="3"/>
  <c r="J11" i="3"/>
  <c r="I11" i="3"/>
  <c r="J169" i="4"/>
  <c r="K169" i="4" s="1"/>
  <c r="L169" i="4" s="1"/>
  <c r="J12" i="3"/>
  <c r="I12" i="3"/>
  <c r="I19" i="3"/>
  <c r="J19" i="3"/>
  <c r="J13" i="3"/>
  <c r="I13" i="3"/>
  <c r="J3" i="3"/>
  <c r="I3" i="3"/>
  <c r="I16" i="3"/>
  <c r="J16" i="3"/>
  <c r="J2" i="3"/>
  <c r="I2" i="3"/>
  <c r="J22" i="3"/>
  <c r="I22" i="3"/>
  <c r="N220" i="4"/>
  <c r="O220" i="4"/>
  <c r="M220" i="4"/>
  <c r="M228" i="4"/>
  <c r="N228" i="4"/>
  <c r="O228" i="4"/>
  <c r="O219" i="4"/>
  <c r="N219" i="4"/>
  <c r="J211" i="4"/>
  <c r="K211" i="4" s="1"/>
  <c r="L211" i="4" s="1"/>
  <c r="J229" i="4"/>
  <c r="K229" i="4" s="1"/>
  <c r="L229" i="4" s="1"/>
  <c r="N26" i="4"/>
  <c r="M26" i="4"/>
  <c r="O26" i="4"/>
  <c r="M175" i="4"/>
  <c r="N175" i="4"/>
  <c r="O175" i="4"/>
  <c r="O159" i="4"/>
  <c r="M159" i="4"/>
  <c r="N159" i="4"/>
  <c r="M87" i="4"/>
  <c r="O87" i="4"/>
  <c r="N87" i="4"/>
  <c r="O63" i="4"/>
  <c r="M63" i="4"/>
  <c r="N63" i="4"/>
  <c r="I85" i="4"/>
  <c r="H85" i="4"/>
  <c r="I154" i="4"/>
  <c r="H154" i="4"/>
  <c r="H102" i="4"/>
  <c r="I102" i="4"/>
  <c r="M106" i="4"/>
  <c r="N106" i="4"/>
  <c r="O106" i="4"/>
  <c r="O34" i="4"/>
  <c r="N34" i="4"/>
  <c r="M34" i="4"/>
  <c r="M183" i="4"/>
  <c r="N183" i="4"/>
  <c r="O183" i="4"/>
  <c r="O167" i="4"/>
  <c r="M167" i="4"/>
  <c r="N167" i="4"/>
  <c r="O95" i="4"/>
  <c r="N95" i="4"/>
  <c r="M95" i="4"/>
  <c r="H174" i="4"/>
  <c r="I174" i="4"/>
  <c r="I31" i="4"/>
  <c r="H31" i="4"/>
  <c r="H78" i="4"/>
  <c r="I78" i="4"/>
  <c r="O82" i="4"/>
  <c r="N82" i="4"/>
  <c r="M82" i="4"/>
  <c r="N42" i="4"/>
  <c r="O42" i="4"/>
  <c r="M42" i="4"/>
  <c r="O191" i="4"/>
  <c r="M191" i="4"/>
  <c r="N191" i="4"/>
  <c r="O103" i="4"/>
  <c r="M103" i="4"/>
  <c r="N103" i="4"/>
  <c r="M7" i="4"/>
  <c r="N7" i="4"/>
  <c r="O7" i="4"/>
  <c r="H150" i="4"/>
  <c r="I150" i="4"/>
  <c r="H132" i="4"/>
  <c r="I132" i="4"/>
  <c r="N50" i="4"/>
  <c r="M50" i="4"/>
  <c r="O50" i="4"/>
  <c r="M15" i="4"/>
  <c r="N15" i="4"/>
  <c r="O15" i="4"/>
  <c r="H125" i="4"/>
  <c r="I125" i="4"/>
  <c r="H212" i="4"/>
  <c r="I212" i="4"/>
  <c r="H116" i="4"/>
  <c r="I116" i="4"/>
  <c r="I225" i="4"/>
  <c r="H225" i="4"/>
  <c r="I177" i="4"/>
  <c r="H177" i="4"/>
  <c r="I65" i="4"/>
  <c r="H65" i="4"/>
  <c r="H141" i="4"/>
  <c r="I141" i="4"/>
  <c r="H128" i="4"/>
  <c r="I128" i="4"/>
  <c r="O199" i="4"/>
  <c r="M199" i="4"/>
  <c r="N199" i="4"/>
  <c r="N98" i="4"/>
  <c r="M98" i="4"/>
  <c r="O98" i="4"/>
  <c r="N58" i="4"/>
  <c r="M58" i="4"/>
  <c r="O58" i="4"/>
  <c r="M119" i="4"/>
  <c r="N119" i="4"/>
  <c r="O119" i="4"/>
  <c r="O2" i="4"/>
  <c r="M2" i="4"/>
  <c r="N2" i="4"/>
  <c r="M66" i="4"/>
  <c r="O66" i="4"/>
  <c r="N66" i="4"/>
  <c r="M215" i="4"/>
  <c r="O215" i="4"/>
  <c r="N215" i="4"/>
  <c r="O127" i="4"/>
  <c r="M127" i="4"/>
  <c r="N127" i="4"/>
  <c r="O39" i="4"/>
  <c r="M39" i="4"/>
  <c r="N39" i="4"/>
  <c r="O10" i="4"/>
  <c r="N10" i="4"/>
  <c r="M10" i="4"/>
  <c r="M74" i="4"/>
  <c r="O74" i="4"/>
  <c r="N74" i="4"/>
  <c r="H230" i="4"/>
  <c r="O135" i="4"/>
  <c r="M135" i="4"/>
  <c r="N135" i="4"/>
  <c r="M47" i="4"/>
  <c r="N47" i="4"/>
  <c r="O47" i="4"/>
  <c r="H224" i="4"/>
  <c r="I224" i="4"/>
  <c r="I79" i="4"/>
  <c r="H79" i="4"/>
  <c r="O90" i="4"/>
  <c r="N90" i="4"/>
  <c r="M90" i="4"/>
  <c r="O111" i="4"/>
  <c r="M111" i="4"/>
  <c r="N111" i="4"/>
  <c r="O207" i="4"/>
  <c r="M207" i="4"/>
  <c r="N207" i="4"/>
  <c r="O23" i="4"/>
  <c r="M23" i="4"/>
  <c r="N23" i="4"/>
  <c r="N18" i="4"/>
  <c r="M18" i="4"/>
  <c r="O18" i="4"/>
  <c r="N223" i="4"/>
  <c r="O223" i="4"/>
  <c r="M223" i="4"/>
  <c r="M151" i="4"/>
  <c r="N151" i="4"/>
  <c r="O151" i="4"/>
  <c r="M143" i="4"/>
  <c r="N143" i="4"/>
  <c r="O143" i="4"/>
  <c r="O55" i="4"/>
  <c r="M55" i="4"/>
  <c r="N55" i="4"/>
  <c r="H148" i="4"/>
  <c r="I148" i="4"/>
  <c r="I71" i="4"/>
  <c r="H71" i="4"/>
  <c r="M5" i="4" l="1"/>
  <c r="O5" i="4"/>
  <c r="N5" i="4"/>
  <c r="O29" i="4"/>
  <c r="N181" i="4"/>
  <c r="M181" i="4"/>
  <c r="O181" i="4"/>
  <c r="N185" i="4"/>
  <c r="O185" i="4"/>
  <c r="M185" i="4"/>
  <c r="O202" i="4"/>
  <c r="M202" i="4"/>
  <c r="N202" i="4"/>
  <c r="N160" i="4"/>
  <c r="M160" i="4"/>
  <c r="O160" i="4"/>
  <c r="N203" i="4"/>
  <c r="O203" i="4"/>
  <c r="M203" i="4"/>
  <c r="N208" i="4"/>
  <c r="M208" i="4"/>
  <c r="O208" i="4"/>
  <c r="N169" i="4"/>
  <c r="O169" i="4"/>
  <c r="M169" i="4"/>
  <c r="O161" i="4"/>
  <c r="M161" i="4"/>
  <c r="N161" i="4"/>
  <c r="G155" i="3"/>
  <c r="H155" i="3" s="1"/>
  <c r="G168" i="3"/>
  <c r="H168" i="3" s="1"/>
  <c r="G40" i="3"/>
  <c r="H40" i="3" s="1"/>
  <c r="G49" i="3"/>
  <c r="H49" i="3" s="1"/>
  <c r="G113" i="3"/>
  <c r="H113" i="3" s="1"/>
  <c r="G177" i="3"/>
  <c r="H177" i="3" s="1"/>
  <c r="G75" i="3"/>
  <c r="H75" i="3" s="1"/>
  <c r="G148" i="3"/>
  <c r="H148" i="3" s="1"/>
  <c r="G90" i="3"/>
  <c r="H90" i="3" s="1"/>
  <c r="G163" i="3"/>
  <c r="H163" i="3" s="1"/>
  <c r="G100" i="3"/>
  <c r="H100" i="3" s="1"/>
  <c r="G197" i="3"/>
  <c r="H197" i="3" s="1"/>
  <c r="G110" i="3"/>
  <c r="H110" i="3" s="1"/>
  <c r="G207" i="3"/>
  <c r="H207" i="3" s="1"/>
  <c r="G151" i="3"/>
  <c r="H151" i="3" s="1"/>
  <c r="G165" i="3"/>
  <c r="H165" i="3" s="1"/>
  <c r="G34" i="3"/>
  <c r="H34" i="3" s="1"/>
  <c r="G146" i="3"/>
  <c r="H146" i="3" s="1"/>
  <c r="G114" i="3"/>
  <c r="H114" i="3" s="1"/>
  <c r="G222" i="3"/>
  <c r="H222" i="3" s="1"/>
  <c r="G94" i="3"/>
  <c r="H94" i="3" s="1"/>
  <c r="G189" i="3"/>
  <c r="H189" i="3" s="1"/>
  <c r="G59" i="3"/>
  <c r="H59" i="3" s="1"/>
  <c r="G128" i="3"/>
  <c r="H128" i="3" s="1"/>
  <c r="G140" i="3"/>
  <c r="H140" i="3" s="1"/>
  <c r="G152" i="3"/>
  <c r="H152" i="3" s="1"/>
  <c r="G57" i="3"/>
  <c r="H57" i="3" s="1"/>
  <c r="G121" i="3"/>
  <c r="H121" i="3" s="1"/>
  <c r="G185" i="3"/>
  <c r="H185" i="3" s="1"/>
  <c r="G84" i="3"/>
  <c r="H84" i="3" s="1"/>
  <c r="G157" i="3"/>
  <c r="H157" i="3" s="1"/>
  <c r="G99" i="3"/>
  <c r="H99" i="3" s="1"/>
  <c r="G172" i="3"/>
  <c r="H172" i="3" s="1"/>
  <c r="G112" i="3"/>
  <c r="H112" i="3" s="1"/>
  <c r="G210" i="3"/>
  <c r="H210" i="3" s="1"/>
  <c r="G123" i="3"/>
  <c r="H123" i="3" s="1"/>
  <c r="G219" i="3"/>
  <c r="H219" i="3" s="1"/>
  <c r="G133" i="3"/>
  <c r="H133" i="3" s="1"/>
  <c r="G150" i="3"/>
  <c r="H150" i="3" s="1"/>
  <c r="G131" i="3"/>
  <c r="H131" i="3" s="1"/>
  <c r="G223" i="3"/>
  <c r="H223" i="3" s="1"/>
  <c r="G95" i="3"/>
  <c r="H95" i="3" s="1"/>
  <c r="G206" i="3"/>
  <c r="H206" i="3" s="1"/>
  <c r="G78" i="3"/>
  <c r="H78" i="3" s="1"/>
  <c r="G174" i="3"/>
  <c r="H174" i="3" s="1"/>
  <c r="G43" i="3"/>
  <c r="H43" i="3" s="1"/>
  <c r="G122" i="3"/>
  <c r="H122" i="3" s="1"/>
  <c r="G138" i="3"/>
  <c r="H138" i="3" s="1"/>
  <c r="G65" i="3"/>
  <c r="H65" i="3" s="1"/>
  <c r="G129" i="3"/>
  <c r="H129" i="3" s="1"/>
  <c r="G193" i="3"/>
  <c r="H193" i="3" s="1"/>
  <c r="G93" i="3"/>
  <c r="H93" i="3" s="1"/>
  <c r="G166" i="3"/>
  <c r="H166" i="3" s="1"/>
  <c r="G108" i="3"/>
  <c r="H108" i="3" s="1"/>
  <c r="G181" i="3"/>
  <c r="H181" i="3" s="1"/>
  <c r="G124" i="3"/>
  <c r="H124" i="3" s="1"/>
  <c r="G220" i="3"/>
  <c r="H220" i="3" s="1"/>
  <c r="G37" i="3"/>
  <c r="H37" i="3" s="1"/>
  <c r="G134" i="3"/>
  <c r="H134" i="3" s="1"/>
  <c r="G229" i="3"/>
  <c r="H229" i="3" s="1"/>
  <c r="G118" i="3"/>
  <c r="H118" i="3" s="1"/>
  <c r="G132" i="3"/>
  <c r="H132" i="3" s="1"/>
  <c r="G115" i="3"/>
  <c r="H115" i="3" s="1"/>
  <c r="G211" i="3"/>
  <c r="H211" i="3" s="1"/>
  <c r="G79" i="3"/>
  <c r="H79" i="3" s="1"/>
  <c r="G191" i="3"/>
  <c r="H191" i="3" s="1"/>
  <c r="G60" i="3"/>
  <c r="H60" i="3" s="1"/>
  <c r="G156" i="3"/>
  <c r="H156" i="3" s="1"/>
  <c r="G77" i="3"/>
  <c r="H77" i="3" s="1"/>
  <c r="G232" i="3"/>
  <c r="H232" i="3" s="1"/>
  <c r="G106" i="3"/>
  <c r="H106" i="3" s="1"/>
  <c r="G119" i="3"/>
  <c r="H119" i="3" s="1"/>
  <c r="G73" i="3"/>
  <c r="H73" i="3" s="1"/>
  <c r="G137" i="3"/>
  <c r="H137" i="3" s="1"/>
  <c r="G201" i="3"/>
  <c r="H201" i="3" s="1"/>
  <c r="G102" i="3"/>
  <c r="H102" i="3" s="1"/>
  <c r="G175" i="3"/>
  <c r="H175" i="3" s="1"/>
  <c r="G44" i="3"/>
  <c r="H44" i="3" s="1"/>
  <c r="G117" i="3"/>
  <c r="H117" i="3" s="1"/>
  <c r="G190" i="3"/>
  <c r="H190" i="3" s="1"/>
  <c r="G39" i="3"/>
  <c r="H39" i="3" s="1"/>
  <c r="G136" i="3"/>
  <c r="H136" i="3" s="1"/>
  <c r="G230" i="3"/>
  <c r="H230" i="3" s="1"/>
  <c r="G50" i="3"/>
  <c r="H50" i="3" s="1"/>
  <c r="G147" i="3"/>
  <c r="H147" i="3" s="1"/>
  <c r="G228" i="3"/>
  <c r="H228" i="3" s="1"/>
  <c r="G103" i="3"/>
  <c r="H103" i="3" s="1"/>
  <c r="G116" i="3"/>
  <c r="H116" i="3" s="1"/>
  <c r="G224" i="3"/>
  <c r="H224" i="3" s="1"/>
  <c r="G96" i="3"/>
  <c r="H96" i="3" s="1"/>
  <c r="G192" i="3"/>
  <c r="H192" i="3" s="1"/>
  <c r="G64" i="3"/>
  <c r="H64" i="3" s="1"/>
  <c r="G176" i="3"/>
  <c r="H176" i="3" s="1"/>
  <c r="G45" i="3"/>
  <c r="H45" i="3" s="1"/>
  <c r="G141" i="3"/>
  <c r="H141" i="3" s="1"/>
  <c r="G36" i="3"/>
  <c r="H36" i="3" s="1"/>
  <c r="G109" i="3"/>
  <c r="H109" i="3" s="1"/>
  <c r="G216" i="3"/>
  <c r="H216" i="3" s="1"/>
  <c r="G91" i="3"/>
  <c r="H91" i="3" s="1"/>
  <c r="G231" i="3"/>
  <c r="H231" i="3" s="1"/>
  <c r="G104" i="3"/>
  <c r="H104" i="3" s="1"/>
  <c r="G81" i="3"/>
  <c r="H81" i="3" s="1"/>
  <c r="G145" i="3"/>
  <c r="H145" i="3" s="1"/>
  <c r="G209" i="3"/>
  <c r="H209" i="3" s="1"/>
  <c r="G38" i="3"/>
  <c r="H38" i="3" s="1"/>
  <c r="G111" i="3"/>
  <c r="H111" i="3" s="1"/>
  <c r="G184" i="3"/>
  <c r="H184" i="3" s="1"/>
  <c r="G53" i="3"/>
  <c r="H53" i="3" s="1"/>
  <c r="G126" i="3"/>
  <c r="H126" i="3" s="1"/>
  <c r="G199" i="3"/>
  <c r="H199" i="3" s="1"/>
  <c r="G51" i="3"/>
  <c r="H51" i="3" s="1"/>
  <c r="G149" i="3"/>
  <c r="H149" i="3" s="1"/>
  <c r="G61" i="3"/>
  <c r="H61" i="3" s="1"/>
  <c r="G159" i="3"/>
  <c r="H159" i="3" s="1"/>
  <c r="G214" i="3"/>
  <c r="H214" i="3" s="1"/>
  <c r="G85" i="3"/>
  <c r="H85" i="3" s="1"/>
  <c r="G226" i="3"/>
  <c r="H226" i="3" s="1"/>
  <c r="G101" i="3"/>
  <c r="H101" i="3" s="1"/>
  <c r="G212" i="3"/>
  <c r="H212" i="3" s="1"/>
  <c r="G82" i="3"/>
  <c r="H82" i="3" s="1"/>
  <c r="G178" i="3"/>
  <c r="H178" i="3" s="1"/>
  <c r="G46" i="3"/>
  <c r="H46" i="3" s="1"/>
  <c r="G158" i="3"/>
  <c r="H158" i="3" s="1"/>
  <c r="G30" i="3"/>
  <c r="H30" i="3" s="1"/>
  <c r="G125" i="3"/>
  <c r="H125" i="3" s="1"/>
  <c r="G204" i="3"/>
  <c r="H204" i="3" s="1"/>
  <c r="G72" i="3"/>
  <c r="H72" i="3" s="1"/>
  <c r="G215" i="3"/>
  <c r="H215" i="3" s="1"/>
  <c r="G88" i="3"/>
  <c r="H88" i="3" s="1"/>
  <c r="G89" i="3"/>
  <c r="H89" i="3" s="1"/>
  <c r="G153" i="3"/>
  <c r="H153" i="3" s="1"/>
  <c r="G217" i="3"/>
  <c r="H217" i="3" s="1"/>
  <c r="G47" i="3"/>
  <c r="H47" i="3" s="1"/>
  <c r="G120" i="3"/>
  <c r="H120" i="3" s="1"/>
  <c r="G194" i="3"/>
  <c r="H194" i="3" s="1"/>
  <c r="G62" i="3"/>
  <c r="H62" i="3" s="1"/>
  <c r="G135" i="3"/>
  <c r="H135" i="3" s="1"/>
  <c r="G208" i="3"/>
  <c r="H208" i="3" s="1"/>
  <c r="G63" i="3"/>
  <c r="H63" i="3" s="1"/>
  <c r="G160" i="3"/>
  <c r="H160" i="3" s="1"/>
  <c r="G74" i="3"/>
  <c r="H74" i="3" s="1"/>
  <c r="G171" i="3"/>
  <c r="H171" i="3" s="1"/>
  <c r="G200" i="3"/>
  <c r="H200" i="3" s="1"/>
  <c r="G69" i="3"/>
  <c r="H69" i="3" s="1"/>
  <c r="G213" i="3"/>
  <c r="H213" i="3" s="1"/>
  <c r="G83" i="3"/>
  <c r="H83" i="3" s="1"/>
  <c r="G195" i="3"/>
  <c r="H195" i="3" s="1"/>
  <c r="G67" i="3"/>
  <c r="H67" i="3" s="1"/>
  <c r="G162" i="3"/>
  <c r="H162" i="3" s="1"/>
  <c r="G31" i="3"/>
  <c r="H31" i="3" s="1"/>
  <c r="G142" i="3"/>
  <c r="H142" i="3" s="1"/>
  <c r="G107" i="3"/>
  <c r="H107" i="3" s="1"/>
  <c r="G227" i="3"/>
  <c r="H227" i="3" s="1"/>
  <c r="G186" i="3"/>
  <c r="H186" i="3" s="1"/>
  <c r="G98" i="3"/>
  <c r="H98" i="3" s="1"/>
  <c r="G167" i="3"/>
  <c r="H167" i="3" s="1"/>
  <c r="G52" i="3"/>
  <c r="H52" i="3" s="1"/>
  <c r="G205" i="3"/>
  <c r="H205" i="3" s="1"/>
  <c r="G188" i="3"/>
  <c r="H188" i="3" s="1"/>
  <c r="G58" i="3"/>
  <c r="H58" i="3" s="1"/>
  <c r="G202" i="3"/>
  <c r="H202" i="3" s="1"/>
  <c r="G70" i="3"/>
  <c r="H70" i="3" s="1"/>
  <c r="G33" i="3"/>
  <c r="H33" i="3" s="1"/>
  <c r="G97" i="3"/>
  <c r="H97" i="3" s="1"/>
  <c r="G161" i="3"/>
  <c r="H161" i="3" s="1"/>
  <c r="G225" i="3"/>
  <c r="H225" i="3" s="1"/>
  <c r="G56" i="3"/>
  <c r="H56" i="3" s="1"/>
  <c r="G130" i="3"/>
  <c r="H130" i="3" s="1"/>
  <c r="G203" i="3"/>
  <c r="H203" i="3" s="1"/>
  <c r="G71" i="3"/>
  <c r="H71" i="3" s="1"/>
  <c r="G144" i="3"/>
  <c r="H144" i="3" s="1"/>
  <c r="G218" i="3"/>
  <c r="H218" i="3" s="1"/>
  <c r="G76" i="3"/>
  <c r="H76" i="3" s="1"/>
  <c r="G173" i="3"/>
  <c r="H173" i="3" s="1"/>
  <c r="G86" i="3"/>
  <c r="H86" i="3" s="1"/>
  <c r="G183" i="3"/>
  <c r="H183" i="3" s="1"/>
  <c r="G182" i="3"/>
  <c r="H182" i="3" s="1"/>
  <c r="G54" i="3"/>
  <c r="H54" i="3" s="1"/>
  <c r="G198" i="3"/>
  <c r="H198" i="3" s="1"/>
  <c r="G68" i="3"/>
  <c r="H68" i="3" s="1"/>
  <c r="G179" i="3"/>
  <c r="H179" i="3" s="1"/>
  <c r="G48" i="3"/>
  <c r="H48" i="3" s="1"/>
  <c r="G143" i="3"/>
  <c r="H143" i="3" s="1"/>
  <c r="G127" i="3"/>
  <c r="H127" i="3" s="1"/>
  <c r="G221" i="3"/>
  <c r="H221" i="3" s="1"/>
  <c r="G92" i="3"/>
  <c r="H92" i="3" s="1"/>
  <c r="G164" i="3"/>
  <c r="H164" i="3" s="1"/>
  <c r="G170" i="3"/>
  <c r="H170" i="3" s="1"/>
  <c r="G42" i="3"/>
  <c r="H42" i="3" s="1"/>
  <c r="G187" i="3"/>
  <c r="H187" i="3" s="1"/>
  <c r="G55" i="3"/>
  <c r="H55" i="3" s="1"/>
  <c r="G41" i="3"/>
  <c r="H41" i="3" s="1"/>
  <c r="G105" i="3"/>
  <c r="H105" i="3" s="1"/>
  <c r="G169" i="3"/>
  <c r="H169" i="3" s="1"/>
  <c r="G233" i="3"/>
  <c r="H233" i="3" s="1"/>
  <c r="G66" i="3"/>
  <c r="H66" i="3" s="1"/>
  <c r="G139" i="3"/>
  <c r="H139" i="3" s="1"/>
  <c r="G80" i="3"/>
  <c r="H80" i="3" s="1"/>
  <c r="G154" i="3"/>
  <c r="H154" i="3" s="1"/>
  <c r="G87" i="3"/>
  <c r="H87" i="3" s="1"/>
  <c r="G196" i="3"/>
  <c r="H196" i="3" s="1"/>
  <c r="G180" i="3"/>
  <c r="H180" i="3" s="1"/>
  <c r="G32" i="3"/>
  <c r="H32" i="3" s="1"/>
  <c r="M229" i="4"/>
  <c r="O229" i="4"/>
  <c r="N229" i="4"/>
  <c r="M211" i="4"/>
  <c r="N211" i="4"/>
  <c r="O211" i="4"/>
  <c r="C23" i="6"/>
  <c r="D23" i="6" s="1"/>
  <c r="C11" i="7"/>
  <c r="K79" i="4"/>
  <c r="J79" i="4"/>
  <c r="L79" i="4"/>
  <c r="J65" i="4"/>
  <c r="K65" i="4" s="1"/>
  <c r="L65" i="4" s="1"/>
  <c r="J71" i="4"/>
  <c r="K71" i="4" s="1"/>
  <c r="L71" i="4" s="1"/>
  <c r="J212" i="4"/>
  <c r="K212" i="4" s="1"/>
  <c r="L212" i="4" s="1"/>
  <c r="J230" i="4"/>
  <c r="K230" i="4" s="1"/>
  <c r="L230" i="4" s="1"/>
  <c r="J177" i="4"/>
  <c r="K177" i="4" s="1"/>
  <c r="L177" i="4" s="1"/>
  <c r="J174" i="4"/>
  <c r="K174" i="4" s="1"/>
  <c r="L174" i="4" s="1"/>
  <c r="J224" i="4"/>
  <c r="K224" i="4"/>
  <c r="L224" i="4"/>
  <c r="J125" i="4"/>
  <c r="K125" i="4"/>
  <c r="L125" i="4"/>
  <c r="J132" i="4"/>
  <c r="K132" i="4" s="1"/>
  <c r="L132" i="4" s="1"/>
  <c r="J102" i="4"/>
  <c r="K102" i="4" s="1"/>
  <c r="L102" i="4" s="1"/>
  <c r="J148" i="4"/>
  <c r="K148" i="4" s="1"/>
  <c r="L148" i="4" s="1"/>
  <c r="J225" i="4"/>
  <c r="K225" i="4"/>
  <c r="L225" i="4"/>
  <c r="J154" i="4"/>
  <c r="L154" i="4"/>
  <c r="K154" i="4"/>
  <c r="J128" i="4"/>
  <c r="K128" i="4" s="1"/>
  <c r="L128" i="4" s="1"/>
  <c r="J150" i="4"/>
  <c r="K150" i="4" s="1"/>
  <c r="L150" i="4" s="1"/>
  <c r="J78" i="4"/>
  <c r="K78" i="4" s="1"/>
  <c r="L78" i="4" s="1"/>
  <c r="J85" i="4"/>
  <c r="K85" i="4" s="1"/>
  <c r="L85" i="4" s="1"/>
  <c r="J141" i="4"/>
  <c r="K141" i="4"/>
  <c r="L141" i="4"/>
  <c r="J116" i="4"/>
  <c r="K116" i="4" s="1"/>
  <c r="L116" i="4" s="1"/>
  <c r="J31" i="4"/>
  <c r="K31" i="4" s="1"/>
  <c r="L31" i="4" s="1"/>
  <c r="J180" i="3" l="1"/>
  <c r="I180" i="3"/>
  <c r="I169" i="3"/>
  <c r="J169" i="3"/>
  <c r="I92" i="3"/>
  <c r="J92" i="3"/>
  <c r="I54" i="3"/>
  <c r="J54" i="3"/>
  <c r="J71" i="3"/>
  <c r="I71" i="3"/>
  <c r="J70" i="3"/>
  <c r="I70" i="3"/>
  <c r="J186" i="3"/>
  <c r="I186" i="3"/>
  <c r="I83" i="3"/>
  <c r="J83" i="3"/>
  <c r="I208" i="3"/>
  <c r="J208" i="3"/>
  <c r="I89" i="3"/>
  <c r="J89" i="3"/>
  <c r="I46" i="3"/>
  <c r="J46" i="3"/>
  <c r="I159" i="3"/>
  <c r="J159" i="3"/>
  <c r="I111" i="3"/>
  <c r="J111" i="3"/>
  <c r="I216" i="3"/>
  <c r="J216" i="3"/>
  <c r="I96" i="3"/>
  <c r="J96" i="3"/>
  <c r="J136" i="3"/>
  <c r="I136" i="3"/>
  <c r="I137" i="3"/>
  <c r="J137" i="3"/>
  <c r="I191" i="3"/>
  <c r="J191" i="3"/>
  <c r="I37" i="3"/>
  <c r="J37" i="3"/>
  <c r="I129" i="3"/>
  <c r="J129" i="3"/>
  <c r="I95" i="3"/>
  <c r="J95" i="3"/>
  <c r="J112" i="3"/>
  <c r="I112" i="3"/>
  <c r="I152" i="3"/>
  <c r="J152" i="3"/>
  <c r="J146" i="3"/>
  <c r="I146" i="3"/>
  <c r="I163" i="3"/>
  <c r="J163" i="3"/>
  <c r="J168" i="3"/>
  <c r="I168" i="3"/>
  <c r="J196" i="3"/>
  <c r="I196" i="3"/>
  <c r="I221" i="3"/>
  <c r="J221" i="3"/>
  <c r="I182" i="3"/>
  <c r="J182" i="3"/>
  <c r="I203" i="3"/>
  <c r="J203" i="3"/>
  <c r="I202" i="3"/>
  <c r="J202" i="3"/>
  <c r="J227" i="3"/>
  <c r="I227" i="3"/>
  <c r="J213" i="3"/>
  <c r="I213" i="3"/>
  <c r="J135" i="3"/>
  <c r="I135" i="3"/>
  <c r="I88" i="3"/>
  <c r="J88" i="3"/>
  <c r="J178" i="3"/>
  <c r="I178" i="3"/>
  <c r="J61" i="3"/>
  <c r="I61" i="3"/>
  <c r="I38" i="3"/>
  <c r="J38" i="3"/>
  <c r="I109" i="3"/>
  <c r="J109" i="3"/>
  <c r="I224" i="3"/>
  <c r="J224" i="3"/>
  <c r="J39" i="3"/>
  <c r="I39" i="3"/>
  <c r="I73" i="3"/>
  <c r="J73" i="3"/>
  <c r="I79" i="3"/>
  <c r="J79" i="3"/>
  <c r="I220" i="3"/>
  <c r="J220" i="3"/>
  <c r="I65" i="3"/>
  <c r="J65" i="3"/>
  <c r="J223" i="3"/>
  <c r="I223" i="3"/>
  <c r="I172" i="3"/>
  <c r="J172" i="3"/>
  <c r="J140" i="3"/>
  <c r="I140" i="3"/>
  <c r="I34" i="3"/>
  <c r="J34" i="3"/>
  <c r="I90" i="3"/>
  <c r="J90" i="3"/>
  <c r="J155" i="3"/>
  <c r="I155" i="3"/>
  <c r="I105" i="3"/>
  <c r="J105" i="3"/>
  <c r="J87" i="3"/>
  <c r="I87" i="3"/>
  <c r="I41" i="3"/>
  <c r="J41" i="3"/>
  <c r="J127" i="3"/>
  <c r="I127" i="3"/>
  <c r="I183" i="3"/>
  <c r="J183" i="3"/>
  <c r="J130" i="3"/>
  <c r="I130" i="3"/>
  <c r="I58" i="3"/>
  <c r="J58" i="3"/>
  <c r="J107" i="3"/>
  <c r="I107" i="3"/>
  <c r="I69" i="3"/>
  <c r="J69" i="3"/>
  <c r="I62" i="3"/>
  <c r="J62" i="3"/>
  <c r="I215" i="3"/>
  <c r="J215" i="3"/>
  <c r="J82" i="3"/>
  <c r="I82" i="3"/>
  <c r="I149" i="3"/>
  <c r="J149" i="3"/>
  <c r="I209" i="3"/>
  <c r="J209" i="3"/>
  <c r="J36" i="3"/>
  <c r="I36" i="3"/>
  <c r="J116" i="3"/>
  <c r="I116" i="3"/>
  <c r="I190" i="3"/>
  <c r="J190" i="3"/>
  <c r="I119" i="3"/>
  <c r="J119" i="3"/>
  <c r="I211" i="3"/>
  <c r="J211" i="3"/>
  <c r="J124" i="3"/>
  <c r="I124" i="3"/>
  <c r="I138" i="3"/>
  <c r="J138" i="3"/>
  <c r="J131" i="3"/>
  <c r="I131" i="3"/>
  <c r="J99" i="3"/>
  <c r="I99" i="3"/>
  <c r="I128" i="3"/>
  <c r="J128" i="3"/>
  <c r="I165" i="3"/>
  <c r="J165" i="3"/>
  <c r="I148" i="3"/>
  <c r="J148" i="3"/>
  <c r="I32" i="3"/>
  <c r="J32" i="3"/>
  <c r="J154" i="3"/>
  <c r="I154" i="3"/>
  <c r="I55" i="3"/>
  <c r="J55" i="3"/>
  <c r="I143" i="3"/>
  <c r="J143" i="3"/>
  <c r="J86" i="3"/>
  <c r="I86" i="3"/>
  <c r="J56" i="3"/>
  <c r="I56" i="3"/>
  <c r="I188" i="3"/>
  <c r="J188" i="3"/>
  <c r="I142" i="3"/>
  <c r="J142" i="3"/>
  <c r="I200" i="3"/>
  <c r="J200" i="3"/>
  <c r="I194" i="3"/>
  <c r="J194" i="3"/>
  <c r="J72" i="3"/>
  <c r="I72" i="3"/>
  <c r="I212" i="3"/>
  <c r="J212" i="3"/>
  <c r="I51" i="3"/>
  <c r="J51" i="3"/>
  <c r="I145" i="3"/>
  <c r="J145" i="3"/>
  <c r="I141" i="3"/>
  <c r="J141" i="3"/>
  <c r="J103" i="3"/>
  <c r="I103" i="3"/>
  <c r="I117" i="3"/>
  <c r="J117" i="3"/>
  <c r="J106" i="3"/>
  <c r="I106" i="3"/>
  <c r="J115" i="3"/>
  <c r="I115" i="3"/>
  <c r="J181" i="3"/>
  <c r="I181" i="3"/>
  <c r="I122" i="3"/>
  <c r="J122" i="3"/>
  <c r="I150" i="3"/>
  <c r="J150" i="3"/>
  <c r="J157" i="3"/>
  <c r="I157" i="3"/>
  <c r="I59" i="3"/>
  <c r="J59" i="3"/>
  <c r="I151" i="3"/>
  <c r="J151" i="3"/>
  <c r="J75" i="3"/>
  <c r="I75" i="3"/>
  <c r="J80" i="3"/>
  <c r="I80" i="3"/>
  <c r="J187" i="3"/>
  <c r="I187" i="3"/>
  <c r="I48" i="3"/>
  <c r="J48" i="3"/>
  <c r="I173" i="3"/>
  <c r="J173" i="3"/>
  <c r="I225" i="3"/>
  <c r="J225" i="3"/>
  <c r="I205" i="3"/>
  <c r="J205" i="3"/>
  <c r="I31" i="3"/>
  <c r="J31" i="3"/>
  <c r="J171" i="3"/>
  <c r="I171" i="3"/>
  <c r="I120" i="3"/>
  <c r="J120" i="3"/>
  <c r="I204" i="3"/>
  <c r="J204" i="3"/>
  <c r="I101" i="3"/>
  <c r="J101" i="3"/>
  <c r="J199" i="3"/>
  <c r="I199" i="3"/>
  <c r="I81" i="3"/>
  <c r="J81" i="3"/>
  <c r="J45" i="3"/>
  <c r="I45" i="3"/>
  <c r="I228" i="3"/>
  <c r="J228" i="3"/>
  <c r="J44" i="3"/>
  <c r="I44" i="3"/>
  <c r="J232" i="3"/>
  <c r="I232" i="3"/>
  <c r="I132" i="3"/>
  <c r="J132" i="3"/>
  <c r="I108" i="3"/>
  <c r="J108" i="3"/>
  <c r="I43" i="3"/>
  <c r="J43" i="3"/>
  <c r="I133" i="3"/>
  <c r="J133" i="3"/>
  <c r="J84" i="3"/>
  <c r="I84" i="3"/>
  <c r="I189" i="3"/>
  <c r="J189" i="3"/>
  <c r="I207" i="3"/>
  <c r="J207" i="3"/>
  <c r="I177" i="3"/>
  <c r="J177" i="3"/>
  <c r="J139" i="3"/>
  <c r="I139" i="3"/>
  <c r="I42" i="3"/>
  <c r="J42" i="3"/>
  <c r="J179" i="3"/>
  <c r="I179" i="3"/>
  <c r="I76" i="3"/>
  <c r="J76" i="3"/>
  <c r="I161" i="3"/>
  <c r="J161" i="3"/>
  <c r="J52" i="3"/>
  <c r="I52" i="3"/>
  <c r="I162" i="3"/>
  <c r="J162" i="3"/>
  <c r="I74" i="3"/>
  <c r="J74" i="3"/>
  <c r="I47" i="3"/>
  <c r="J47" i="3"/>
  <c r="J125" i="3"/>
  <c r="I125" i="3"/>
  <c r="J226" i="3"/>
  <c r="I226" i="3"/>
  <c r="J126" i="3"/>
  <c r="I126" i="3"/>
  <c r="I104" i="3"/>
  <c r="J104" i="3"/>
  <c r="J176" i="3"/>
  <c r="I176" i="3"/>
  <c r="I147" i="3"/>
  <c r="J147" i="3"/>
  <c r="I175" i="3"/>
  <c r="J175" i="3"/>
  <c r="I77" i="3"/>
  <c r="J77" i="3"/>
  <c r="I118" i="3"/>
  <c r="J118" i="3"/>
  <c r="J166" i="3"/>
  <c r="I166" i="3"/>
  <c r="I174" i="3"/>
  <c r="J174" i="3"/>
  <c r="I219" i="3"/>
  <c r="J219" i="3"/>
  <c r="I185" i="3"/>
  <c r="J185" i="3"/>
  <c r="I94" i="3"/>
  <c r="J94" i="3"/>
  <c r="I110" i="3"/>
  <c r="J110" i="3"/>
  <c r="I113" i="3"/>
  <c r="J113" i="3"/>
  <c r="J66" i="3"/>
  <c r="I66" i="3"/>
  <c r="J170" i="3"/>
  <c r="I170" i="3"/>
  <c r="J68" i="3"/>
  <c r="I68" i="3"/>
  <c r="J218" i="3"/>
  <c r="I218" i="3"/>
  <c r="I97" i="3"/>
  <c r="J97" i="3"/>
  <c r="J167" i="3"/>
  <c r="I167" i="3"/>
  <c r="I67" i="3"/>
  <c r="J67" i="3"/>
  <c r="I160" i="3"/>
  <c r="J160" i="3"/>
  <c r="I217" i="3"/>
  <c r="J217" i="3"/>
  <c r="J30" i="3"/>
  <c r="I30" i="3"/>
  <c r="J85" i="3"/>
  <c r="I85" i="3"/>
  <c r="I53" i="3"/>
  <c r="J53" i="3"/>
  <c r="J231" i="3"/>
  <c r="I231" i="3"/>
  <c r="I64" i="3"/>
  <c r="J64" i="3"/>
  <c r="I50" i="3"/>
  <c r="J50" i="3"/>
  <c r="J102" i="3"/>
  <c r="I102" i="3"/>
  <c r="I156" i="3"/>
  <c r="J156" i="3"/>
  <c r="I229" i="3"/>
  <c r="J229" i="3"/>
  <c r="I93" i="3"/>
  <c r="J93" i="3"/>
  <c r="I78" i="3"/>
  <c r="J78" i="3"/>
  <c r="J123" i="3"/>
  <c r="I123" i="3"/>
  <c r="I121" i="3"/>
  <c r="J121" i="3"/>
  <c r="J222" i="3"/>
  <c r="I222" i="3"/>
  <c r="J197" i="3"/>
  <c r="I197" i="3"/>
  <c r="I49" i="3"/>
  <c r="J49" i="3"/>
  <c r="I233" i="3"/>
  <c r="J233" i="3"/>
  <c r="I164" i="3"/>
  <c r="J164" i="3"/>
  <c r="J198" i="3"/>
  <c r="I198" i="3"/>
  <c r="J144" i="3"/>
  <c r="I144" i="3"/>
  <c r="I33" i="3"/>
  <c r="J33" i="3"/>
  <c r="J98" i="3"/>
  <c r="I98" i="3"/>
  <c r="I195" i="3"/>
  <c r="J195" i="3"/>
  <c r="I63" i="3"/>
  <c r="J63" i="3"/>
  <c r="I153" i="3"/>
  <c r="J153" i="3"/>
  <c r="J158" i="3"/>
  <c r="I158" i="3"/>
  <c r="I214" i="3"/>
  <c r="J214" i="3"/>
  <c r="I184" i="3"/>
  <c r="J184" i="3"/>
  <c r="J91" i="3"/>
  <c r="I91" i="3"/>
  <c r="I192" i="3"/>
  <c r="J192" i="3"/>
  <c r="I230" i="3"/>
  <c r="J230" i="3"/>
  <c r="I201" i="3"/>
  <c r="J201" i="3"/>
  <c r="J60" i="3"/>
  <c r="I60" i="3"/>
  <c r="J134" i="3"/>
  <c r="I134" i="3"/>
  <c r="I193" i="3"/>
  <c r="J193" i="3"/>
  <c r="I206" i="3"/>
  <c r="J206" i="3"/>
  <c r="J210" i="3"/>
  <c r="I210" i="3"/>
  <c r="I57" i="3"/>
  <c r="J57" i="3"/>
  <c r="J114" i="3"/>
  <c r="I114" i="3"/>
  <c r="I100" i="3"/>
  <c r="J100" i="3"/>
  <c r="I40" i="3"/>
  <c r="J40" i="3"/>
  <c r="C9" i="6"/>
  <c r="C8" i="6"/>
  <c r="C10" i="6" s="1"/>
  <c r="O31" i="4"/>
  <c r="M31" i="4"/>
  <c r="N31" i="4"/>
  <c r="C14" i="6"/>
  <c r="C16" i="6" s="1"/>
  <c r="C13" i="7"/>
  <c r="F6" i="7"/>
  <c r="C14" i="7"/>
  <c r="D24" i="7"/>
  <c r="C15" i="6"/>
  <c r="D6" i="7"/>
  <c r="C12" i="7"/>
  <c r="J2" i="5"/>
  <c r="A26" i="5" s="1"/>
  <c r="D14" i="6"/>
  <c r="D15" i="6"/>
  <c r="M78" i="4"/>
  <c r="N78" i="4"/>
  <c r="O78" i="4"/>
  <c r="M116" i="4"/>
  <c r="N116" i="4"/>
  <c r="O116" i="4"/>
  <c r="M150" i="4"/>
  <c r="N150" i="4"/>
  <c r="O150" i="4"/>
  <c r="N177" i="4"/>
  <c r="M177" i="4"/>
  <c r="O177" i="4"/>
  <c r="M230" i="4"/>
  <c r="N230" i="4"/>
  <c r="O230" i="4"/>
  <c r="M148" i="4"/>
  <c r="O148" i="4"/>
  <c r="N148" i="4"/>
  <c r="M212" i="4"/>
  <c r="N212" i="4"/>
  <c r="O212" i="4"/>
  <c r="N128" i="4"/>
  <c r="M128" i="4"/>
  <c r="O128" i="4"/>
  <c r="M102" i="4"/>
  <c r="O102" i="4"/>
  <c r="N102" i="4"/>
  <c r="N71" i="4"/>
  <c r="M71" i="4"/>
  <c r="O71" i="4"/>
  <c r="M85" i="4"/>
  <c r="O85" i="4"/>
  <c r="N85" i="4"/>
  <c r="N65" i="4"/>
  <c r="O65" i="4"/>
  <c r="M65" i="4"/>
  <c r="N132" i="4"/>
  <c r="M132" i="4"/>
  <c r="O132" i="4"/>
  <c r="D9" i="6"/>
  <c r="D8" i="6"/>
  <c r="M141" i="4"/>
  <c r="N141" i="4"/>
  <c r="O141" i="4"/>
  <c r="M125" i="4"/>
  <c r="N125" i="4"/>
  <c r="O125" i="4"/>
  <c r="M174" i="4"/>
  <c r="N174" i="4"/>
  <c r="O174" i="4"/>
  <c r="O154" i="4"/>
  <c r="N154" i="4"/>
  <c r="M154" i="4"/>
  <c r="N79" i="4"/>
  <c r="M79" i="4"/>
  <c r="O79" i="4"/>
  <c r="N224" i="4"/>
  <c r="M224" i="4"/>
  <c r="O224" i="4"/>
  <c r="M225" i="4"/>
  <c r="N225" i="4"/>
  <c r="O225" i="4"/>
  <c r="A43" i="5"/>
  <c r="A36" i="5"/>
  <c r="A20" i="5"/>
  <c r="A37" i="5"/>
  <c r="K2" i="5"/>
  <c r="A40" i="5"/>
  <c r="A32" i="5"/>
  <c r="A8" i="5"/>
  <c r="A14" i="5" l="1"/>
  <c r="A34" i="5"/>
  <c r="A9" i="5"/>
  <c r="A22" i="5"/>
  <c r="A42" i="5"/>
  <c r="A33" i="5"/>
  <c r="A21" i="5"/>
  <c r="A23" i="5"/>
  <c r="A27" i="5"/>
  <c r="A17" i="5"/>
  <c r="A7" i="5"/>
  <c r="A38" i="5"/>
  <c r="A11" i="5"/>
  <c r="C18" i="6"/>
  <c r="D18" i="6" s="1"/>
  <c r="H6" i="7" s="1"/>
  <c r="A25" i="5"/>
  <c r="A15" i="5"/>
  <c r="A5" i="5"/>
  <c r="A19" i="5"/>
  <c r="A41" i="5"/>
  <c r="A31" i="5"/>
  <c r="A29" i="5"/>
  <c r="A35" i="5"/>
  <c r="A24" i="5"/>
  <c r="A6" i="5"/>
  <c r="A12" i="5"/>
  <c r="A10" i="5"/>
  <c r="C23" i="7"/>
  <c r="A30" i="5"/>
  <c r="A28" i="5"/>
  <c r="A18" i="5"/>
  <c r="D21" i="7"/>
  <c r="D22" i="7"/>
  <c r="A16" i="5"/>
  <c r="A39" i="5"/>
  <c r="A13" i="5"/>
  <c r="A44" i="5"/>
  <c r="C19" i="7"/>
  <c r="D20" i="7"/>
  <c r="D23" i="7"/>
  <c r="C20" i="7"/>
  <c r="C21" i="7"/>
  <c r="D19" i="7"/>
  <c r="C22" i="7"/>
  <c r="C24" i="7"/>
  <c r="G33" i="5"/>
  <c r="F33" i="5"/>
  <c r="E33" i="5"/>
  <c r="D33" i="5"/>
  <c r="C33" i="5"/>
  <c r="B33" i="5"/>
  <c r="G17" i="5"/>
  <c r="F17" i="5"/>
  <c r="E17" i="5"/>
  <c r="D17" i="5"/>
  <c r="C17" i="5"/>
  <c r="B17" i="5"/>
  <c r="G40" i="5"/>
  <c r="F40" i="5"/>
  <c r="E40" i="5"/>
  <c r="D40" i="5"/>
  <c r="C40" i="5"/>
  <c r="B40" i="5"/>
  <c r="E14" i="5"/>
  <c r="D14" i="5"/>
  <c r="C14" i="5"/>
  <c r="B14" i="5"/>
  <c r="G14" i="5"/>
  <c r="F14" i="5"/>
  <c r="D37" i="5"/>
  <c r="C37" i="5"/>
  <c r="B37" i="5"/>
  <c r="G37" i="5"/>
  <c r="F37" i="5"/>
  <c r="E37" i="5"/>
  <c r="B27" i="5"/>
  <c r="G27" i="5"/>
  <c r="F27" i="5"/>
  <c r="E27" i="5"/>
  <c r="D27" i="5"/>
  <c r="C27" i="5"/>
  <c r="G25" i="5"/>
  <c r="F25" i="5"/>
  <c r="E25" i="5"/>
  <c r="D25" i="5"/>
  <c r="C25" i="5"/>
  <c r="B25" i="5"/>
  <c r="F7" i="5"/>
  <c r="E7" i="5"/>
  <c r="D7" i="5"/>
  <c r="C7" i="5"/>
  <c r="B7" i="5"/>
  <c r="G7" i="5"/>
  <c r="E22" i="5"/>
  <c r="D22" i="5"/>
  <c r="C22" i="5"/>
  <c r="B22" i="5"/>
  <c r="G22" i="5"/>
  <c r="F22" i="5"/>
  <c r="C12" i="5"/>
  <c r="B12" i="5"/>
  <c r="G12" i="5"/>
  <c r="F12" i="5"/>
  <c r="E12" i="5"/>
  <c r="D12" i="5"/>
  <c r="B35" i="5"/>
  <c r="G35" i="5"/>
  <c r="F35" i="5"/>
  <c r="E35" i="5"/>
  <c r="D35" i="5"/>
  <c r="C35" i="5"/>
  <c r="E30" i="5"/>
  <c r="D30" i="5"/>
  <c r="C30" i="5"/>
  <c r="B30" i="5"/>
  <c r="G30" i="5"/>
  <c r="F30" i="5"/>
  <c r="F31" i="5"/>
  <c r="E31" i="5"/>
  <c r="D31" i="5"/>
  <c r="C31" i="5"/>
  <c r="B31" i="5"/>
  <c r="G31" i="5"/>
  <c r="C36" i="5"/>
  <c r="B36" i="5"/>
  <c r="G36" i="5"/>
  <c r="F36" i="5"/>
  <c r="E36" i="5"/>
  <c r="D36" i="5"/>
  <c r="G26" i="5"/>
  <c r="F26" i="5"/>
  <c r="E26" i="5"/>
  <c r="D26" i="5"/>
  <c r="C26" i="5"/>
  <c r="B26" i="5"/>
  <c r="C20" i="5"/>
  <c r="B20" i="5"/>
  <c r="G20" i="5"/>
  <c r="F20" i="5"/>
  <c r="E20" i="5"/>
  <c r="D20" i="5"/>
  <c r="G41" i="5"/>
  <c r="F41" i="5"/>
  <c r="E41" i="5"/>
  <c r="D41" i="5"/>
  <c r="C41" i="5"/>
  <c r="B41" i="5"/>
  <c r="F23" i="5"/>
  <c r="E23" i="5"/>
  <c r="D23" i="5"/>
  <c r="C23" i="5"/>
  <c r="B23" i="5"/>
  <c r="G23" i="5"/>
  <c r="E38" i="5"/>
  <c r="D38" i="5"/>
  <c r="C38" i="5"/>
  <c r="B38" i="5"/>
  <c r="G38" i="5"/>
  <c r="F38" i="5"/>
  <c r="C28" i="5"/>
  <c r="B28" i="5"/>
  <c r="G28" i="5"/>
  <c r="F28" i="5"/>
  <c r="E28" i="5"/>
  <c r="D28" i="5"/>
  <c r="G10" i="5"/>
  <c r="F10" i="5"/>
  <c r="E10" i="5"/>
  <c r="D10" i="5"/>
  <c r="C10" i="5"/>
  <c r="B10" i="5"/>
  <c r="G8" i="5"/>
  <c r="F8" i="5"/>
  <c r="E8" i="5"/>
  <c r="D8" i="5"/>
  <c r="C8" i="5"/>
  <c r="B8" i="5"/>
  <c r="D5" i="5"/>
  <c r="C5" i="5"/>
  <c r="B5" i="5"/>
  <c r="G5" i="5"/>
  <c r="F5" i="5"/>
  <c r="E5" i="5"/>
  <c r="G18" i="5"/>
  <c r="F18" i="5"/>
  <c r="E18" i="5"/>
  <c r="D18" i="5"/>
  <c r="C18" i="5"/>
  <c r="B18" i="5"/>
  <c r="G16" i="5"/>
  <c r="F16" i="5"/>
  <c r="E16" i="5"/>
  <c r="D16" i="5"/>
  <c r="C16" i="5"/>
  <c r="B16" i="5"/>
  <c r="F39" i="5"/>
  <c r="E39" i="5"/>
  <c r="D39" i="5"/>
  <c r="C39" i="5"/>
  <c r="B39" i="5"/>
  <c r="G39" i="5"/>
  <c r="D13" i="5"/>
  <c r="C13" i="5"/>
  <c r="B13" i="5"/>
  <c r="G13" i="5"/>
  <c r="F13" i="5"/>
  <c r="E13" i="5"/>
  <c r="C44" i="5"/>
  <c r="B44" i="5"/>
  <c r="G44" i="5"/>
  <c r="F44" i="5"/>
  <c r="E44" i="5"/>
  <c r="D44" i="5"/>
  <c r="F15" i="5"/>
  <c r="E15" i="5"/>
  <c r="D15" i="5"/>
  <c r="C15" i="5"/>
  <c r="B15" i="5"/>
  <c r="G15" i="5"/>
  <c r="B43" i="5"/>
  <c r="G43" i="5"/>
  <c r="F43" i="5"/>
  <c r="E43" i="5"/>
  <c r="D43" i="5"/>
  <c r="C43" i="5"/>
  <c r="G24" i="5"/>
  <c r="F24" i="5"/>
  <c r="E24" i="5"/>
  <c r="D24" i="5"/>
  <c r="C24" i="5"/>
  <c r="B24" i="5"/>
  <c r="D21" i="5"/>
  <c r="C21" i="5"/>
  <c r="B21" i="5"/>
  <c r="G21" i="5"/>
  <c r="F21" i="5"/>
  <c r="E21" i="5"/>
  <c r="B11" i="5"/>
  <c r="G11" i="5"/>
  <c r="F11" i="5"/>
  <c r="E11" i="5"/>
  <c r="D11" i="5"/>
  <c r="C11" i="5"/>
  <c r="G34" i="5"/>
  <c r="F34" i="5"/>
  <c r="E34" i="5"/>
  <c r="D34" i="5"/>
  <c r="C34" i="5"/>
  <c r="B34" i="5"/>
  <c r="G9" i="5"/>
  <c r="F9" i="5"/>
  <c r="E9" i="5"/>
  <c r="D9" i="5"/>
  <c r="C9" i="5"/>
  <c r="B9" i="5"/>
  <c r="G32" i="5"/>
  <c r="F32" i="5"/>
  <c r="E32" i="5"/>
  <c r="D32" i="5"/>
  <c r="C32" i="5"/>
  <c r="B32" i="5"/>
  <c r="E6" i="5"/>
  <c r="D6" i="5"/>
  <c r="C6" i="5"/>
  <c r="B6" i="5"/>
  <c r="G6" i="5"/>
  <c r="F6" i="5"/>
  <c r="D29" i="5"/>
  <c r="C29" i="5"/>
  <c r="B29" i="5"/>
  <c r="G29" i="5"/>
  <c r="F29" i="5"/>
  <c r="E29" i="5"/>
  <c r="B19" i="5"/>
  <c r="G19" i="5"/>
  <c r="F19" i="5"/>
  <c r="E19" i="5"/>
  <c r="D19" i="5"/>
  <c r="C19" i="5"/>
  <c r="G42" i="5"/>
  <c r="F42" i="5"/>
  <c r="E42" i="5"/>
  <c r="D42" i="5"/>
  <c r="C42" i="5"/>
  <c r="B4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471CEF-87A1-44E4-ABEC-B2858ECB9A2E}" keepAlive="1" name="Connexion" type="5" refreshedVersion="8" saveData="1">
    <dbPr connection="Provider=Microsoft.Mashup.OleDb.1;Data Source=$Workbook$;Location=LedgerBank;Extended Properties=&quot;&quot;" command="SELECT * FROM [LedgerBank]"/>
  </connection>
  <connection id="2" xr16:uid="{F6A5C42A-55F7-41FE-A8C2-BDD5DF1093AF}" keepAlive="1" name="Connexion1" type="5" refreshedVersion="8" saveData="1">
    <dbPr connection="Provider=Microsoft.Mashup.OleDb.1;Data Source=$Workbook$;Location=BankStatement;Extended Properties=&quot;&quot;" command="SELECT * FROM [BankStatement]"/>
  </connection>
</connections>
</file>

<file path=xl/sharedStrings.xml><?xml version="1.0" encoding="utf-8"?>
<sst xmlns="http://schemas.openxmlformats.org/spreadsheetml/2006/main" count="1523" uniqueCount="1265">
  <si>
    <t>Settings</t>
  </si>
  <si>
    <t>Blue cells are inputs. Change them for another month, then Data &gt; Refresh All.</t>
  </si>
  <si>
    <t>Data folder (automatic: the data folder next to this file)</t>
  </si>
  <si>
    <t>Bank statement file</t>
  </si>
  <si>
    <t>bank_statement_2025-12.csv</t>
  </si>
  <si>
    <t>Ledger extract file (account 512000)</t>
  </si>
  <si>
    <t>ledger_bank_2025-12.csv</t>
  </si>
  <si>
    <t>Period start</t>
  </si>
  <si>
    <t>Period end</t>
  </si>
  <si>
    <t>Opening balance per bank statement</t>
  </si>
  <si>
    <t>From the November statement</t>
  </si>
  <si>
    <t>Opening balance per books</t>
  </si>
  <si>
    <t>From the November reconciliation</t>
  </si>
  <si>
    <t>Closing balance printed on the bank statement</t>
  </si>
  <si>
    <t>Typed from the statement: used to check the CSV import is complete</t>
  </si>
  <si>
    <t>Date tolerance for amount matching (days)</t>
  </si>
  <si>
    <t>A bank line without reference is matched to a ledger line with the same amount within this many days</t>
  </si>
  <si>
    <t>Classification rules for unmatched bank lines</t>
  </si>
  <si>
    <t>The first keyword found in the bank label wins. Add a row to teach the workbook a new case.</t>
  </si>
  <si>
    <t>Keyword</t>
  </si>
  <si>
    <t>Category</t>
  </si>
  <si>
    <t>Action</t>
  </si>
  <si>
    <t>Account</t>
  </si>
  <si>
    <t>FRAIS</t>
  </si>
  <si>
    <t>Bank charges</t>
  </si>
  <si>
    <t>Book the bank charges</t>
  </si>
  <si>
    <t>627000</t>
  </si>
  <si>
    <t>COMMISSION</t>
  </si>
  <si>
    <t>AGIOS</t>
  </si>
  <si>
    <t>Bank interest</t>
  </si>
  <si>
    <t>Book the bank interest</t>
  </si>
  <si>
    <t>661600</t>
  </si>
  <si>
    <t>PRLV</t>
  </si>
  <si>
    <t>Direct debit not booked</t>
  </si>
  <si>
    <t>Find the supplier invoice and book the direct debit</t>
  </si>
  <si>
    <t>401000</t>
  </si>
  <si>
    <t>VIR SEPA RECU</t>
  </si>
  <si>
    <t>Unidentified receipt</t>
  </si>
  <si>
    <t>Identify the customer and allocate the receipt (suspense 471000 meanwhile)</t>
  </si>
  <si>
    <t>471000</t>
  </si>
  <si>
    <t>VIR SEPA EMIS</t>
  </si>
  <si>
    <t>Unidentified payment</t>
  </si>
  <si>
    <t>Find the invoice behind this transfer</t>
  </si>
  <si>
    <t>Entry</t>
  </si>
  <si>
    <t>Date</t>
  </si>
  <si>
    <t>Reference</t>
  </si>
  <si>
    <t>Description</t>
  </si>
  <si>
    <t>Amount</t>
  </si>
  <si>
    <t>BNK25-01795</t>
  </si>
  <si>
    <t>PMT-S017-43468</t>
  </si>
  <si>
    <t>Supplier payment S017 - S017-43468</t>
  </si>
  <si>
    <t>BNK25-01796</t>
  </si>
  <si>
    <t>RCP-2501242</t>
  </si>
  <si>
    <t>Customer receipt C012 - INV-2501242</t>
  </si>
  <si>
    <t>BNK25-01797</t>
  </si>
  <si>
    <t>RCP-2501106</t>
  </si>
  <si>
    <t>Customer receipt C006 - INV-2501106</t>
  </si>
  <si>
    <t>BNK25-01798</t>
  </si>
  <si>
    <t>RCP-2501099</t>
  </si>
  <si>
    <t>Customer receipt C026 - INV-2501099</t>
  </si>
  <si>
    <t>BNK25-01799</t>
  </si>
  <si>
    <t>RCP-2501227</t>
  </si>
  <si>
    <t>Customer receipt C012 - INV-2501227</t>
  </si>
  <si>
    <t>BNK25-01800</t>
  </si>
  <si>
    <t>RCP-2501231</t>
  </si>
  <si>
    <t>Customer receipt C011 - INV-2501231</t>
  </si>
  <si>
    <t>BNK25-01801</t>
  </si>
  <si>
    <t>PMT-S037-16040</t>
  </si>
  <si>
    <t>Supplier payment S037 - S037-16040</t>
  </si>
  <si>
    <t>BNK25-01802</t>
  </si>
  <si>
    <t>RCP-2501098</t>
  </si>
  <si>
    <t>Customer receipt C020 - INV-2501098</t>
  </si>
  <si>
    <t>BNK25-01803</t>
  </si>
  <si>
    <t>RCP-2501157</t>
  </si>
  <si>
    <t>Customer receipt C021 - INV-2501157</t>
  </si>
  <si>
    <t>BNK25-01804</t>
  </si>
  <si>
    <t>RCP-2501164</t>
  </si>
  <si>
    <t>Customer receipt C012 - INV-2501164</t>
  </si>
  <si>
    <t>BNK25-01805</t>
  </si>
  <si>
    <t>RCP-2501095</t>
  </si>
  <si>
    <t>Customer receipt C057 - INV-2501095</t>
  </si>
  <si>
    <t>BNK25-01806</t>
  </si>
  <si>
    <t>RCP-2501256</t>
  </si>
  <si>
    <t>Customer receipt C032 - INV-2501256</t>
  </si>
  <si>
    <t>BNK25-01807</t>
  </si>
  <si>
    <t>RCP-2501155</t>
  </si>
  <si>
    <t>Customer receipt C006 - INV-2501155</t>
  </si>
  <si>
    <t>BNK25-01808</t>
  </si>
  <si>
    <t>RCP-2501140</t>
  </si>
  <si>
    <t>Customer receipt C035 - INV-2501140</t>
  </si>
  <si>
    <t>BNK25-01809</t>
  </si>
  <si>
    <t>RCP-2501129</t>
  </si>
  <si>
    <t>Customer receipt C002 - INV-2501129</t>
  </si>
  <si>
    <t>BNK25-01810</t>
  </si>
  <si>
    <t>RCP-2501168</t>
  </si>
  <si>
    <t>Customer receipt C012 - INV-2501168</t>
  </si>
  <si>
    <t>BNK25-01811</t>
  </si>
  <si>
    <t>RCP-2501091</t>
  </si>
  <si>
    <t>Customer receipt C001 - INV-2501091</t>
  </si>
  <si>
    <t>BNK25-01812</t>
  </si>
  <si>
    <t>RCP-2501198</t>
  </si>
  <si>
    <t>Customer receipt C021 - INV-2501198</t>
  </si>
  <si>
    <t>BNK25-01813</t>
  </si>
  <si>
    <t>RCP-2501115</t>
  </si>
  <si>
    <t>Customer receipt C038 - INV-2501115</t>
  </si>
  <si>
    <t>BNK25-01814</t>
  </si>
  <si>
    <t>RCP-2501107</t>
  </si>
  <si>
    <t>Customer receipt C038 - INV-2501107</t>
  </si>
  <si>
    <t>BNK25-01815</t>
  </si>
  <si>
    <t>RCP-2501145</t>
  </si>
  <si>
    <t>Customer receipt C035 - INV-2501145</t>
  </si>
  <si>
    <t>BNK25-01816</t>
  </si>
  <si>
    <t>RCP-2501166</t>
  </si>
  <si>
    <t>Customer receipt C040 - INV-2501166</t>
  </si>
  <si>
    <t>BNK25-01817</t>
  </si>
  <si>
    <t>PMT-S027-69720</t>
  </si>
  <si>
    <t>Supplier payment S027 - S027-69720</t>
  </si>
  <si>
    <t>BNK25-01818</t>
  </si>
  <si>
    <t>RCP-2501237</t>
  </si>
  <si>
    <t>Customer receipt C022 - INV-2501237</t>
  </si>
  <si>
    <t>BNK25-01819</t>
  </si>
  <si>
    <t>PMT-S036-58394</t>
  </si>
  <si>
    <t>Supplier payment S036 - S036-58394</t>
  </si>
  <si>
    <t>BNK25-01820</t>
  </si>
  <si>
    <t>RCP-2501310</t>
  </si>
  <si>
    <t>Customer receipt C038 - INV-2501310</t>
  </si>
  <si>
    <t>BNK25-01821</t>
  </si>
  <si>
    <t>RCP-2501214</t>
  </si>
  <si>
    <t>Customer receipt C005 - INV-2501214</t>
  </si>
  <si>
    <t>BNK25-01822</t>
  </si>
  <si>
    <t>PMT-S033-22207</t>
  </si>
  <si>
    <t>Supplier payment S033 - S033-22207</t>
  </si>
  <si>
    <t>BNK25-01823</t>
  </si>
  <si>
    <t>PMT-S027-64809</t>
  </si>
  <si>
    <t>Supplier payment S027 - S027-64809</t>
  </si>
  <si>
    <t>BNK25-01824</t>
  </si>
  <si>
    <t>RCP-2501247</t>
  </si>
  <si>
    <t>Customer receipt C021 - INV-2501247</t>
  </si>
  <si>
    <t>BNK25-01825</t>
  </si>
  <si>
    <t>PMT-S010-97970</t>
  </si>
  <si>
    <t>Supplier payment S010 - S010-97970</t>
  </si>
  <si>
    <t>BNK25-01826</t>
  </si>
  <si>
    <t>PMT-S006-33900</t>
  </si>
  <si>
    <t>Supplier payment S006 - S006-33900</t>
  </si>
  <si>
    <t>BNK25-01827</t>
  </si>
  <si>
    <t>RCP-2501219</t>
  </si>
  <si>
    <t>Customer receipt C023 - INV-2501219</t>
  </si>
  <si>
    <t>BNK25-01828</t>
  </si>
  <si>
    <t>PMT-S006-93250</t>
  </si>
  <si>
    <t>Supplier payment S006 - S006-93250</t>
  </si>
  <si>
    <t>BNK25-01829</t>
  </si>
  <si>
    <t>RCP-2501308</t>
  </si>
  <si>
    <t>Customer receipt C038 - INV-2501308</t>
  </si>
  <si>
    <t>BNK25-01830</t>
  </si>
  <si>
    <t>RCP-2501305</t>
  </si>
  <si>
    <t>Customer receipt C020 - INV-2501305</t>
  </si>
  <si>
    <t>BNK25-01831</t>
  </si>
  <si>
    <t>PMT-RENT-2025-12</t>
  </si>
  <si>
    <t>Rent payment December 2025</t>
  </si>
  <si>
    <t>BNK25-01832</t>
  </si>
  <si>
    <t>RCP-2501143</t>
  </si>
  <si>
    <t>Customer receipt C012 - INV-2501143</t>
  </si>
  <si>
    <t>BNK25-01833</t>
  </si>
  <si>
    <t>RCP-2501181</t>
  </si>
  <si>
    <t>Customer receipt C024 - INV-2501181</t>
  </si>
  <si>
    <t>BNK25-01834</t>
  </si>
  <si>
    <t>RCP-2501272</t>
  </si>
  <si>
    <t>Customer receipt C038 - INV-2501272</t>
  </si>
  <si>
    <t>BNK25-01835</t>
  </si>
  <si>
    <t>PMT-S005-81345</t>
  </si>
  <si>
    <t>Supplier payment S005 - S005-81345</t>
  </si>
  <si>
    <t>BNK25-01836</t>
  </si>
  <si>
    <t>RCP-2501125</t>
  </si>
  <si>
    <t>Customer receipt C049 - INV-2501125</t>
  </si>
  <si>
    <t>BNK25-01837</t>
  </si>
  <si>
    <t>LOAN-2025-12</t>
  </si>
  <si>
    <t>Loan instalment December 2025</t>
  </si>
  <si>
    <t>BNK25-01838</t>
  </si>
  <si>
    <t>RCP-2501314</t>
  </si>
  <si>
    <t>Customer receipt C017 - INV-2501314</t>
  </si>
  <si>
    <t>BNK25-01839</t>
  </si>
  <si>
    <t>RCP-2501149</t>
  </si>
  <si>
    <t>Customer receipt C051 - INV-2501149</t>
  </si>
  <si>
    <t>BNK25-01840</t>
  </si>
  <si>
    <t>PMT-S012-65132</t>
  </si>
  <si>
    <t>Supplier payment S012 - S012-65132</t>
  </si>
  <si>
    <t>BNK25-01841</t>
  </si>
  <si>
    <t>RCP-2501196</t>
  </si>
  <si>
    <t>Customer receipt C051 - INV-2501196</t>
  </si>
  <si>
    <t>BNK25-01842</t>
  </si>
  <si>
    <t>RCP-2501321</t>
  </si>
  <si>
    <t>Customer receipt C006 - INV-2501321</t>
  </si>
  <si>
    <t>BNK25-01843</t>
  </si>
  <si>
    <t>RCP-2501269</t>
  </si>
  <si>
    <t>Customer receipt C006 - INV-2501269</t>
  </si>
  <si>
    <t>BNK25-01844</t>
  </si>
  <si>
    <t>RCP-2501160</t>
  </si>
  <si>
    <t>Customer receipt C026 - INV-2501160</t>
  </si>
  <si>
    <t>BNK25-01845</t>
  </si>
  <si>
    <t>RCP-2501174</t>
  </si>
  <si>
    <t>Customer receipt C035 - INV-2501174</t>
  </si>
  <si>
    <t>BNK25-01846</t>
  </si>
  <si>
    <t>PMT-S022-29568</t>
  </si>
  <si>
    <t>Supplier payment S022 - S022-29568</t>
  </si>
  <si>
    <t>BNK25-01847</t>
  </si>
  <si>
    <t>RCP-2501233</t>
  </si>
  <si>
    <t>Customer receipt C035 - INV-2501233</t>
  </si>
  <si>
    <t>BNK25-01848</t>
  </si>
  <si>
    <t>RCP-2501213</t>
  </si>
  <si>
    <t>Customer receipt C012 - INV-2501213</t>
  </si>
  <si>
    <t>BNK25-01849</t>
  </si>
  <si>
    <t>RCP-2501136</t>
  </si>
  <si>
    <t>Customer receipt C021 - INV-2501136</t>
  </si>
  <si>
    <t>BNK25-01850</t>
  </si>
  <si>
    <t>PMT-S010-69268</t>
  </si>
  <si>
    <t>Supplier payment S010 - S010-69268</t>
  </si>
  <si>
    <t>BNK25-01851</t>
  </si>
  <si>
    <t>RCP-2501325</t>
  </si>
  <si>
    <t>Customer receipt C006 - INV-2501325</t>
  </si>
  <si>
    <t>BNK25-01852</t>
  </si>
  <si>
    <t>PMT-S018-81453</t>
  </si>
  <si>
    <t>Supplier payment S018 - S018-81453</t>
  </si>
  <si>
    <t>BNK25-01853</t>
  </si>
  <si>
    <t>RCP-2501217</t>
  </si>
  <si>
    <t>Customer receipt C039 - INV-2501217</t>
  </si>
  <si>
    <t>BNK25-01854</t>
  </si>
  <si>
    <t>PMT-S024-40661</t>
  </si>
  <si>
    <t>Supplier payment S024 - S024-40661</t>
  </si>
  <si>
    <t>BNK25-01855</t>
  </si>
  <si>
    <t>RCP-2501311</t>
  </si>
  <si>
    <t>Customer receipt C006 - INV-2501311</t>
  </si>
  <si>
    <t>BNK25-01856</t>
  </si>
  <si>
    <t>RCP-2501178</t>
  </si>
  <si>
    <t>Customer receipt C019 - INV-2501178</t>
  </si>
  <si>
    <t>BNK25-01857</t>
  </si>
  <si>
    <t>RCP-2501285</t>
  </si>
  <si>
    <t>Customer receipt C038 - INV-2501285</t>
  </si>
  <si>
    <t>BNK25-01858</t>
  </si>
  <si>
    <t>RCP-2501187</t>
  </si>
  <si>
    <t>Customer receipt C031 - INV-2501187</t>
  </si>
  <si>
    <t>BNK25-01859</t>
  </si>
  <si>
    <t>RCP-2501292</t>
  </si>
  <si>
    <t>Customer receipt C035 - INV-2501292</t>
  </si>
  <si>
    <t>BNK25-01860</t>
  </si>
  <si>
    <t>RCP-2501283</t>
  </si>
  <si>
    <t>Customer receipt C006 - INV-2501283</t>
  </si>
  <si>
    <t>BNK25-01861</t>
  </si>
  <si>
    <t>PMT-S007-54172</t>
  </si>
  <si>
    <t>Supplier payment S007 - S007-54172</t>
  </si>
  <si>
    <t>BNK25-01862</t>
  </si>
  <si>
    <t>PMT-S015-41970</t>
  </si>
  <si>
    <t>Supplier payment S015 - S015-41970</t>
  </si>
  <si>
    <t>BNK25-01863</t>
  </si>
  <si>
    <t>RCP-2501298</t>
  </si>
  <si>
    <t>Customer receipt C042 - INV-2501298</t>
  </si>
  <si>
    <t>BNK25-01864</t>
  </si>
  <si>
    <t>RCP-2501194</t>
  </si>
  <si>
    <t>Customer receipt C026 - INV-2501194</t>
  </si>
  <si>
    <t>BNK25-01865</t>
  </si>
  <si>
    <t>RCP-2501165</t>
  </si>
  <si>
    <t>Customer receipt C012 - INV-2501165</t>
  </si>
  <si>
    <t>BNK25-01866</t>
  </si>
  <si>
    <t>RCP-2501182</t>
  </si>
  <si>
    <t>Customer receipt C047 - INV-2501182</t>
  </si>
  <si>
    <t>BNK25-01867</t>
  </si>
  <si>
    <t>RCP-2501221</t>
  </si>
  <si>
    <t>Customer receipt C046 - INV-2501221</t>
  </si>
  <si>
    <t>BNK25-01868</t>
  </si>
  <si>
    <t>RCP-2501262</t>
  </si>
  <si>
    <t>Customer receipt C059 - INV-2501262</t>
  </si>
  <si>
    <t>BNK25-01869</t>
  </si>
  <si>
    <t>RCP-2501274</t>
  </si>
  <si>
    <t>Customer receipt C012 - INV-2501274</t>
  </si>
  <si>
    <t>BNK25-01870</t>
  </si>
  <si>
    <t>RCP-2501173</t>
  </si>
  <si>
    <t>Customer receipt C012 - INV-2501173</t>
  </si>
  <si>
    <t>BNK25-01871</t>
  </si>
  <si>
    <t>RCP-2501326</t>
  </si>
  <si>
    <t>Customer receipt C022 - INV-2501326</t>
  </si>
  <si>
    <t>BNK25-01872</t>
  </si>
  <si>
    <t>PMT-S007-98301</t>
  </si>
  <si>
    <t>Supplier payment S007 - S007-98301</t>
  </si>
  <si>
    <t>BNK25-01873</t>
  </si>
  <si>
    <t>RCP-2501320</t>
  </si>
  <si>
    <t>Customer receipt C041 - INV-2501320</t>
  </si>
  <si>
    <t>BNK25-01874</t>
  </si>
  <si>
    <t>RCP-2501316</t>
  </si>
  <si>
    <t>Customer receipt C021 - INV-2501316</t>
  </si>
  <si>
    <t>BNK25-01875</t>
  </si>
  <si>
    <t>PMT-S008-83179</t>
  </si>
  <si>
    <t>Supplier payment S008 - S008-83179</t>
  </si>
  <si>
    <t>BNK25-01876</t>
  </si>
  <si>
    <t>PMT-S037-59975</t>
  </si>
  <si>
    <t>Supplier payment S037 - S037-59975</t>
  </si>
  <si>
    <t>BNK25-01877</t>
  </si>
  <si>
    <t>RCP-2501302</t>
  </si>
  <si>
    <t>Customer receipt C012 - INV-2501302</t>
  </si>
  <si>
    <t>BNK25-01878</t>
  </si>
  <si>
    <t>PMT-S034-21015</t>
  </si>
  <si>
    <t>Supplier payment S034 - S034-21015</t>
  </si>
  <si>
    <t>BNK25-01879</t>
  </si>
  <si>
    <t>PMT-S007-71290</t>
  </si>
  <si>
    <t>Supplier payment S007 - S007-71290</t>
  </si>
  <si>
    <t>BNK25-01880</t>
  </si>
  <si>
    <t>RCP-2501218</t>
  </si>
  <si>
    <t>Customer receipt C031 - INV-2501218</t>
  </si>
  <si>
    <t>BNK25-01881</t>
  </si>
  <si>
    <t>RCP-2501209</t>
  </si>
  <si>
    <t>Customer receipt C006 - INV-2501209</t>
  </si>
  <si>
    <t>BNK25-01882</t>
  </si>
  <si>
    <t>RCP-2501179</t>
  </si>
  <si>
    <t>Customer receipt C043 - INV-2501179</t>
  </si>
  <si>
    <t>BNK25-01883</t>
  </si>
  <si>
    <t>PMT-S003-64937</t>
  </si>
  <si>
    <t>Supplier payment S003 - S003-64937</t>
  </si>
  <si>
    <t>BNK25-01884</t>
  </si>
  <si>
    <t>PMT-S012-95035</t>
  </si>
  <si>
    <t>Supplier payment S012 - S012-95035</t>
  </si>
  <si>
    <t>BNK25-01885</t>
  </si>
  <si>
    <t>PMT-S026-48268</t>
  </si>
  <si>
    <t>Supplier payment S026 - S026-48268</t>
  </si>
  <si>
    <t>BNK25-01886</t>
  </si>
  <si>
    <t>PMT-S002-57517</t>
  </si>
  <si>
    <t>Supplier payment S002 - S002-57517</t>
  </si>
  <si>
    <t>BNK25-01887</t>
  </si>
  <si>
    <t>RCP-2501358</t>
  </si>
  <si>
    <t>Customer receipt C011 - INV-2501358</t>
  </si>
  <si>
    <t>BNK25-01888</t>
  </si>
  <si>
    <t>RCP-2501207</t>
  </si>
  <si>
    <t>Customer receipt C034 - INV-2501207</t>
  </si>
  <si>
    <t>BNK25-01889</t>
  </si>
  <si>
    <t>RCP-2501176</t>
  </si>
  <si>
    <t>Customer receipt C056 - INV-2501176</t>
  </si>
  <si>
    <t>BNK25-01890</t>
  </si>
  <si>
    <t>RCP-2501341</t>
  </si>
  <si>
    <t>Customer receipt C058 - INV-2501341</t>
  </si>
  <si>
    <t>BNK25-01891</t>
  </si>
  <si>
    <t>RCP-2501306</t>
  </si>
  <si>
    <t>Customer receipt C032 - INV-2501306</t>
  </si>
  <si>
    <t>BNK25-01892</t>
  </si>
  <si>
    <t>PMT-S004-35290</t>
  </si>
  <si>
    <t>Supplier payment S004 - S004-35290</t>
  </si>
  <si>
    <t>BNK25-01893</t>
  </si>
  <si>
    <t>RCP-2501184</t>
  </si>
  <si>
    <t>Customer receipt C021 - INV-2501184</t>
  </si>
  <si>
    <t>BNK25-01894</t>
  </si>
  <si>
    <t>PMT-S019-54526</t>
  </si>
  <si>
    <t>Supplier payment S019 - S019-54526</t>
  </si>
  <si>
    <t>BNK25-01895</t>
  </si>
  <si>
    <t>RCP-2501257</t>
  </si>
  <si>
    <t>Customer receipt C017 - INV-2501257</t>
  </si>
  <si>
    <t>BNK25-01896</t>
  </si>
  <si>
    <t>RCP-2501361</t>
  </si>
  <si>
    <t>Customer receipt C035 - INV-2501361</t>
  </si>
  <si>
    <t>BNK25-01897</t>
  </si>
  <si>
    <t>RCP-2501252</t>
  </si>
  <si>
    <t>Customer receipt C020 - INV-2501252</t>
  </si>
  <si>
    <t>BNK25-01898</t>
  </si>
  <si>
    <t>RCP-2501189</t>
  </si>
  <si>
    <t>Customer receipt C043 - INV-2501189</t>
  </si>
  <si>
    <t>BNK25-01899</t>
  </si>
  <si>
    <t>RCP-2501290</t>
  </si>
  <si>
    <t>Customer receipt C021 - INV-2501290</t>
  </si>
  <si>
    <t>BNK25-01900</t>
  </si>
  <si>
    <t>RCP-2501348</t>
  </si>
  <si>
    <t>Customer receipt C044 - INV-2501348</t>
  </si>
  <si>
    <t>BNK25-01901</t>
  </si>
  <si>
    <t>URSSAF-2025-11</t>
  </si>
  <si>
    <t>Social charges payment November 2025</t>
  </si>
  <si>
    <t>BNK25-01902</t>
  </si>
  <si>
    <t>RCP-2501296</t>
  </si>
  <si>
    <t>Customer receipt C035 - INV-2501296</t>
  </si>
  <si>
    <t>BNK25-01903</t>
  </si>
  <si>
    <t>RCP-2501367</t>
  </si>
  <si>
    <t>Customer receipt C035 - INV-2501367</t>
  </si>
  <si>
    <t>BNK25-01904</t>
  </si>
  <si>
    <t>PMT-S021-93290</t>
  </si>
  <si>
    <t>Supplier payment S021 - S021-93290</t>
  </si>
  <si>
    <t>BNK25-01905</t>
  </si>
  <si>
    <t>RCP-2501332</t>
  </si>
  <si>
    <t>Customer receipt C043 - INV-2501332</t>
  </si>
  <si>
    <t>BNK25-01906</t>
  </si>
  <si>
    <t>RCP-2501384</t>
  </si>
  <si>
    <t>Customer receipt C006 - INV-2501384</t>
  </si>
  <si>
    <t>BNK25-01907</t>
  </si>
  <si>
    <t>RCP-2501388</t>
  </si>
  <si>
    <t>Customer receipt C035 - INV-2501388</t>
  </si>
  <si>
    <t>BNK25-01908</t>
  </si>
  <si>
    <t>RCP-2501225</t>
  </si>
  <si>
    <t>Customer receipt C012 - INV-2501225</t>
  </si>
  <si>
    <t>BNK25-01909</t>
  </si>
  <si>
    <t>RCP-2501192</t>
  </si>
  <si>
    <t>Customer receipt C053 - INV-2501192</t>
  </si>
  <si>
    <t>BNK25-01910</t>
  </si>
  <si>
    <t>PMT-S036-81496</t>
  </si>
  <si>
    <t>Supplier payment S036 - S036-81496</t>
  </si>
  <si>
    <t>BNK25-01911</t>
  </si>
  <si>
    <t>RCP-2501324</t>
  </si>
  <si>
    <t>Customer receipt C012 - INV-2501324</t>
  </si>
  <si>
    <t>BNK25-01912</t>
  </si>
  <si>
    <t>RCP-2501288</t>
  </si>
  <si>
    <t>Customer receipt C035 - INV-2501288</t>
  </si>
  <si>
    <t>BNK25-01913</t>
  </si>
  <si>
    <t>RCP-2501293</t>
  </si>
  <si>
    <t>Customer receipt C012 - INV-2501293</t>
  </si>
  <si>
    <t>BNK25-01914</t>
  </si>
  <si>
    <t>PMT-S004-12112</t>
  </si>
  <si>
    <t>Supplier payment S004 - S004-12112</t>
  </si>
  <si>
    <t>BNK25-01915</t>
  </si>
  <si>
    <t>RCP-2501342</t>
  </si>
  <si>
    <t>Customer receipt C006 - INV-2501342</t>
  </si>
  <si>
    <t>BNK25-01916</t>
  </si>
  <si>
    <t>RCP-2501370</t>
  </si>
  <si>
    <t>Customer receipt C023 - INV-2501370</t>
  </si>
  <si>
    <t>BNK25-01917</t>
  </si>
  <si>
    <t>PMT-S012-18111</t>
  </si>
  <si>
    <t>Supplier payment S012 - S012-18111</t>
  </si>
  <si>
    <t>BNK25-01918</t>
  </si>
  <si>
    <t>RCP-2501271</t>
  </si>
  <si>
    <t>Customer receipt C035 - INV-2501271</t>
  </si>
  <si>
    <t>BNK25-01919</t>
  </si>
  <si>
    <t>RCP-2501249</t>
  </si>
  <si>
    <t>Customer receipt C008 - INV-2501249</t>
  </si>
  <si>
    <t>BNK25-01920</t>
  </si>
  <si>
    <t>RCP-2501211</t>
  </si>
  <si>
    <t>Customer receipt C022 - INV-2501211</t>
  </si>
  <si>
    <t>BNK25-01921</t>
  </si>
  <si>
    <t>RCP-2501369</t>
  </si>
  <si>
    <t>Customer receipt C004 - INV-2501369</t>
  </si>
  <si>
    <t>BNK25-01922</t>
  </si>
  <si>
    <t>RCP-2501259</t>
  </si>
  <si>
    <t>Customer receipt C010 - INV-2501259</t>
  </si>
  <si>
    <t>BNK25-01923</t>
  </si>
  <si>
    <t>RCP-2501335</t>
  </si>
  <si>
    <t>Customer receipt C035 - INV-2501335</t>
  </si>
  <si>
    <t>BNK25-01924</t>
  </si>
  <si>
    <t>RCP-2501383</t>
  </si>
  <si>
    <t>Customer receipt C022 - INV-2501383</t>
  </si>
  <si>
    <t>BNK25-01925</t>
  </si>
  <si>
    <t>PMT-S026-62618</t>
  </si>
  <si>
    <t>Supplier payment S026 - S026-62618</t>
  </si>
  <si>
    <t>BNK25-01926</t>
  </si>
  <si>
    <t>RCP-2501267</t>
  </si>
  <si>
    <t>Customer receipt C021 - INV-2501267</t>
  </si>
  <si>
    <t>BNK25-01927</t>
  </si>
  <si>
    <t>RCP-2501229</t>
  </si>
  <si>
    <t>Customer receipt C026 - INV-2501229</t>
  </si>
  <si>
    <t>BNK25-01928</t>
  </si>
  <si>
    <t>RCP-2501205</t>
  </si>
  <si>
    <t>Customer receipt C012 - INV-2501205</t>
  </si>
  <si>
    <t>BNK25-01929</t>
  </si>
  <si>
    <t>PMT-S035-10113</t>
  </si>
  <si>
    <t>Supplier payment S035 - S035-10113</t>
  </si>
  <si>
    <t>BNK25-01930</t>
  </si>
  <si>
    <t>RCP-2501277</t>
  </si>
  <si>
    <t>Customer receipt C006 - INV-2501277</t>
  </si>
  <si>
    <t>BNK25-01931</t>
  </si>
  <si>
    <t>RCP-2501282</t>
  </si>
  <si>
    <t>Customer receipt C012 - INV-2501282</t>
  </si>
  <si>
    <t>BNK25-01932</t>
  </si>
  <si>
    <t>RCP-2501246</t>
  </si>
  <si>
    <t>Customer receipt C021 - INV-2501246</t>
  </si>
  <si>
    <t>BNK25-01933</t>
  </si>
  <si>
    <t>RCP-2501220</t>
  </si>
  <si>
    <t>Customer receipt C055 - INV-2501220</t>
  </si>
  <si>
    <t>BNK25-01934</t>
  </si>
  <si>
    <t>RCP-2501350</t>
  </si>
  <si>
    <t>Customer receipt C051 - INV-2501350</t>
  </si>
  <si>
    <t>BNK25-01935</t>
  </si>
  <si>
    <t>PMT-S008-37617</t>
  </si>
  <si>
    <t>Supplier payment S008 - S008-37617</t>
  </si>
  <si>
    <t>BNK25-01936</t>
  </si>
  <si>
    <t>RCP-2501329</t>
  </si>
  <si>
    <t>Customer receipt C006 - INV-2501329</t>
  </si>
  <si>
    <t>BNK25-01937</t>
  </si>
  <si>
    <t>RCP-2501402</t>
  </si>
  <si>
    <t>Customer receipt C017 - INV-2501402</t>
  </si>
  <si>
    <t>BNK25-01938</t>
  </si>
  <si>
    <t>RCP-2501327</t>
  </si>
  <si>
    <t>Customer receipt C022 - INV-2501327</t>
  </si>
  <si>
    <t>BNK25-01939</t>
  </si>
  <si>
    <t>RCP-2501263</t>
  </si>
  <si>
    <t>Customer receipt C048 - INV-2501263</t>
  </si>
  <si>
    <t>BNK25-01940</t>
  </si>
  <si>
    <t>PMT-S011-99443</t>
  </si>
  <si>
    <t>Supplier payment S011 - S011-99443</t>
  </si>
  <si>
    <t>BNK25-01941</t>
  </si>
  <si>
    <t>RCP-2501340</t>
  </si>
  <si>
    <t>Customer receipt C035 - INV-2501340</t>
  </si>
  <si>
    <t>BNK25-01942</t>
  </si>
  <si>
    <t>RCP-2501362</t>
  </si>
  <si>
    <t>Customer receipt C021 - INV-2501362</t>
  </si>
  <si>
    <t>BNK25-01943</t>
  </si>
  <si>
    <t>RCP-2501280</t>
  </si>
  <si>
    <t>Customer receipt C035 - INV-2501280</t>
  </si>
  <si>
    <t>BNK25-01944</t>
  </si>
  <si>
    <t>RCP-2501245</t>
  </si>
  <si>
    <t>Customer receipt C052 - INV-2501245</t>
  </si>
  <si>
    <t>BNK25-01945</t>
  </si>
  <si>
    <t>PMT-S007-20671</t>
  </si>
  <si>
    <t>Supplier payment S007 - S007-20671</t>
  </si>
  <si>
    <t>BNK25-01946</t>
  </si>
  <si>
    <t>RCP-2501270</t>
  </si>
  <si>
    <t>Customer receipt C006 - INV-2501270</t>
  </si>
  <si>
    <t>BNK25-01947</t>
  </si>
  <si>
    <t>RCP-2501374</t>
  </si>
  <si>
    <t>Customer receipt C042 - INV-2501374</t>
  </si>
  <si>
    <t>BNK25-01948</t>
  </si>
  <si>
    <t>RCP-2501376</t>
  </si>
  <si>
    <t>Customer receipt C043 - INV-2501376</t>
  </si>
  <si>
    <t>BNK25-01949</t>
  </si>
  <si>
    <t>RCP-2501385</t>
  </si>
  <si>
    <t>Customer receipt C035 - INV-2501385</t>
  </si>
  <si>
    <t>BNK25-01950</t>
  </si>
  <si>
    <t>RCP-2501417</t>
  </si>
  <si>
    <t>Customer receipt C012 - INV-2501417</t>
  </si>
  <si>
    <t>BNK25-01951</t>
  </si>
  <si>
    <t>RCP-2501317</t>
  </si>
  <si>
    <t>Customer receipt C047 - INV-2501317</t>
  </si>
  <si>
    <t>BNK25-01952</t>
  </si>
  <si>
    <t>PMT-S018-49904</t>
  </si>
  <si>
    <t>Supplier payment S018 - S018-49904</t>
  </si>
  <si>
    <t>BNK25-01953</t>
  </si>
  <si>
    <t>RCP-2501380</t>
  </si>
  <si>
    <t>Customer receipt C035 - INV-2501380</t>
  </si>
  <si>
    <t>BNK25-01954</t>
  </si>
  <si>
    <t>RCP-2501251</t>
  </si>
  <si>
    <t>Customer receipt C056 - INV-2501251</t>
  </si>
  <si>
    <t>BNK25-01955</t>
  </si>
  <si>
    <t>RCP-2501210</t>
  </si>
  <si>
    <t>Customer receipt C024 - INV-2501210</t>
  </si>
  <si>
    <t>BNK25-01956</t>
  </si>
  <si>
    <t>RCP-2501279</t>
  </si>
  <si>
    <t>Customer receipt C006 - INV-2501279</t>
  </si>
  <si>
    <t>BNK25-01957</t>
  </si>
  <si>
    <t>RCP-2501291</t>
  </si>
  <si>
    <t>Customer receipt C024 - INV-2501291</t>
  </si>
  <si>
    <t>BNK25-01958</t>
  </si>
  <si>
    <t>RCP-2501420</t>
  </si>
  <si>
    <t>Customer receipt C016 - INV-2501420</t>
  </si>
  <si>
    <t>BNK25-01959</t>
  </si>
  <si>
    <t>RCP-2501275</t>
  </si>
  <si>
    <t>Customer receipt C005 - INV-2501275</t>
  </si>
  <si>
    <t>BNK25-01960</t>
  </si>
  <si>
    <t>RCP-2501392</t>
  </si>
  <si>
    <t>Customer receipt C014 - INV-2501392</t>
  </si>
  <si>
    <t>BNK25-01961</t>
  </si>
  <si>
    <t>RCP-2501413</t>
  </si>
  <si>
    <t>Customer receipt C018 - INV-2501413</t>
  </si>
  <si>
    <t>BNK25-01962</t>
  </si>
  <si>
    <t>RCP-2501281</t>
  </si>
  <si>
    <t>Customer receipt C020 - INV-2501281</t>
  </si>
  <si>
    <t>BNK25-01963</t>
  </si>
  <si>
    <t>RCP-2501315</t>
  </si>
  <si>
    <t>Customer receipt C032 - INV-2501315</t>
  </si>
  <si>
    <t>BNK25-01964</t>
  </si>
  <si>
    <t>PMT-S008-59527</t>
  </si>
  <si>
    <t>Supplier payment S008 - S008-59527</t>
  </si>
  <si>
    <t>BNK25-01965</t>
  </si>
  <si>
    <t>PMT-S015-54384</t>
  </si>
  <si>
    <t>Supplier payment S015 - S015-54384</t>
  </si>
  <si>
    <t>BNK25-01966</t>
  </si>
  <si>
    <t>RCP-2501333</t>
  </si>
  <si>
    <t>Customer receipt C004 - INV-2501333</t>
  </si>
  <si>
    <t>BNK25-01967</t>
  </si>
  <si>
    <t>PMT-S004-52243</t>
  </si>
  <si>
    <t>Supplier payment S004 - S004-52243</t>
  </si>
  <si>
    <t>BNK25-01968</t>
  </si>
  <si>
    <t>RCP-2501236</t>
  </si>
  <si>
    <t>Customer receipt C012 - INV-2501236</t>
  </si>
  <si>
    <t>BNK25-01969</t>
  </si>
  <si>
    <t>RCP-2501377</t>
  </si>
  <si>
    <t>Customer receipt C030 - INV-2501377</t>
  </si>
  <si>
    <t>BNK25-01970</t>
  </si>
  <si>
    <t>RCP-2501445</t>
  </si>
  <si>
    <t>Customer receipt C006 - INV-2501445</t>
  </si>
  <si>
    <t>BNK25-01971</t>
  </si>
  <si>
    <t>RCP-2501428</t>
  </si>
  <si>
    <t>Customer receipt C012 - INV-2501428</t>
  </si>
  <si>
    <t>BNK25-01972</t>
  </si>
  <si>
    <t>RCP-2501334</t>
  </si>
  <si>
    <t>Customer receipt C015 - INV-2501334</t>
  </si>
  <si>
    <t>BNK25-01973</t>
  </si>
  <si>
    <t>RCP-2501309</t>
  </si>
  <si>
    <t>Customer receipt C054 - INV-2501309</t>
  </si>
  <si>
    <t>BNK25-01974</t>
  </si>
  <si>
    <t>RCP-2501359</t>
  </si>
  <si>
    <t>Customer receipt C050 - INV-2501359</t>
  </si>
  <si>
    <t>BNK25-01975</t>
  </si>
  <si>
    <t>RCP-2501313</t>
  </si>
  <si>
    <t>Customer receipt C043 - INV-2501313</t>
  </si>
  <si>
    <t>BNK25-01976</t>
  </si>
  <si>
    <t>RCP-2501435</t>
  </si>
  <si>
    <t>Customer receipt C025 - INV-2501435</t>
  </si>
  <si>
    <t>BNK25-01977</t>
  </si>
  <si>
    <t>PMT-S014-20952</t>
  </si>
  <si>
    <t>Supplier payment S014 - S014-20952</t>
  </si>
  <si>
    <t>BNK25-01978</t>
  </si>
  <si>
    <t>PMT-S002-12329</t>
  </si>
  <si>
    <t>Supplier payment S002 - S002-12329</t>
  </si>
  <si>
    <t>BNK25-01979</t>
  </si>
  <si>
    <t>RCP-2501364</t>
  </si>
  <si>
    <t>Customer receipt C038 - INV-2501364</t>
  </si>
  <si>
    <t>BNK25-01980</t>
  </si>
  <si>
    <t>PMT-S011-90207</t>
  </si>
  <si>
    <t>Supplier payment S011 - S011-90207</t>
  </si>
  <si>
    <t>BNK25-01981</t>
  </si>
  <si>
    <t>RCP-2501276</t>
  </si>
  <si>
    <t>Customer receipt C012 - INV-2501276</t>
  </si>
  <si>
    <t>BNK25-01982</t>
  </si>
  <si>
    <t>RCP-2501328</t>
  </si>
  <si>
    <t>Customer receipt C038 - INV-2501328</t>
  </si>
  <si>
    <t>BNK25-01983</t>
  </si>
  <si>
    <t>RCP-2501368</t>
  </si>
  <si>
    <t>Customer receipt C029 - INV-2501368</t>
  </si>
  <si>
    <t>BNK25-01984</t>
  </si>
  <si>
    <t>PMT-S004-23812</t>
  </si>
  <si>
    <t>Supplier payment S004 - S004-23812</t>
  </si>
  <si>
    <t>BNK25-01985</t>
  </si>
  <si>
    <t>RCP-2501287</t>
  </si>
  <si>
    <t>Customer receipt C035 - INV-2501287</t>
  </si>
  <si>
    <t>BNK25-01986</t>
  </si>
  <si>
    <t>RCP-2501431</t>
  </si>
  <si>
    <t>Customer receipt C006 - INV-2501431</t>
  </si>
  <si>
    <t>BNK25-01987</t>
  </si>
  <si>
    <t>RCP-2501240</t>
  </si>
  <si>
    <t>Customer receipt C035 - INV-2501240</t>
  </si>
  <si>
    <t>BNK25-01988</t>
  </si>
  <si>
    <t>RCP-2501266</t>
  </si>
  <si>
    <t>Customer receipt C023 - INV-2501266</t>
  </si>
  <si>
    <t>BNK25-01989</t>
  </si>
  <si>
    <t>PMT-S008-90218</t>
  </si>
  <si>
    <t>Supplier payment S008 - S008-90218</t>
  </si>
  <si>
    <t>BNK25-01990</t>
  </si>
  <si>
    <t>RCP-2501307</t>
  </si>
  <si>
    <t>Customer receipt C033 - INV-2501307</t>
  </si>
  <si>
    <t>BNK25-01991</t>
  </si>
  <si>
    <t>PMT-S010-89710</t>
  </si>
  <si>
    <t>Supplier payment S010 - S010-89710</t>
  </si>
  <si>
    <t>BNK25-01992</t>
  </si>
  <si>
    <t>RCP-2501337</t>
  </si>
  <si>
    <t>Customer receipt C035 - INV-2501337</t>
  </si>
  <si>
    <t>BNK25-01993</t>
  </si>
  <si>
    <t>RCP-2501258</t>
  </si>
  <si>
    <t>Customer receipt C020 - INV-2501258</t>
  </si>
  <si>
    <t>BNK25-01994</t>
  </si>
  <si>
    <t>RCP-2501299</t>
  </si>
  <si>
    <t>Customer receipt C022 - INV-2501299</t>
  </si>
  <si>
    <t>BNK25-01995</t>
  </si>
  <si>
    <t>RCP-2501419</t>
  </si>
  <si>
    <t>Customer receipt C006 - INV-2501419</t>
  </si>
  <si>
    <t>BNK25-01996</t>
  </si>
  <si>
    <t>RCP-2501397</t>
  </si>
  <si>
    <t>Customer receipt C022 - INV-2501397</t>
  </si>
  <si>
    <t>BNK25-01997</t>
  </si>
  <si>
    <t>RCP-2501396</t>
  </si>
  <si>
    <t>Customer receipt C001 - INV-2501396</t>
  </si>
  <si>
    <t>BNK25-01998</t>
  </si>
  <si>
    <t>PMT-S011-48398</t>
  </si>
  <si>
    <t>Supplier payment S011 - S011-48398</t>
  </si>
  <si>
    <t>BNK25-01999</t>
  </si>
  <si>
    <t>RCP-2501304</t>
  </si>
  <si>
    <t>Customer receipt C021 - INV-2501304</t>
  </si>
  <si>
    <t>BNK25-02000</t>
  </si>
  <si>
    <t>RCP-2501357</t>
  </si>
  <si>
    <t>Customer receipt C035 - INV-2501357</t>
  </si>
  <si>
    <t>BNK25-02001</t>
  </si>
  <si>
    <t>RCP-2501297</t>
  </si>
  <si>
    <t>Customer receipt C006 - INV-2501297</t>
  </si>
  <si>
    <t>BNK25-02002</t>
  </si>
  <si>
    <t>RCP-2501416</t>
  </si>
  <si>
    <t>Customer receipt C024 - INV-2501416</t>
  </si>
  <si>
    <t>BNK25-02003</t>
  </si>
  <si>
    <t>RCP-2501300</t>
  </si>
  <si>
    <t>Customer receipt C006 - INV-2501300</t>
  </si>
  <si>
    <t>BNK25-02004</t>
  </si>
  <si>
    <t>PMT-S007-96269</t>
  </si>
  <si>
    <t>Supplier payment S007 - S007-96269</t>
  </si>
  <si>
    <t>BNK25-02005</t>
  </si>
  <si>
    <t>RCP-2501322</t>
  </si>
  <si>
    <t>Customer receipt C038 - INV-2501322</t>
  </si>
  <si>
    <t>BNK25-02006</t>
  </si>
  <si>
    <t>RCP-2501425</t>
  </si>
  <si>
    <t>Customer receipt C035 - INV-2501425</t>
  </si>
  <si>
    <t>BNK25-02007</t>
  </si>
  <si>
    <t>PMT-S027-10730</t>
  </si>
  <si>
    <t>Supplier payment S027 - S027-10730</t>
  </si>
  <si>
    <t>BNK25-02008</t>
  </si>
  <si>
    <t>RCP-2501378</t>
  </si>
  <si>
    <t>Customer receipt C038 - INV-2501378</t>
  </si>
  <si>
    <t>BNK25-02009</t>
  </si>
  <si>
    <t>RCP-2501354</t>
  </si>
  <si>
    <t>Customer receipt C018 - INV-2501354</t>
  </si>
  <si>
    <t>BNK25-02010</t>
  </si>
  <si>
    <t>PMT-S010-44004</t>
  </si>
  <si>
    <t>Supplier payment S010 - S010-44004</t>
  </si>
  <si>
    <t>BNK25-02011</t>
  </si>
  <si>
    <t>RCP-2501351</t>
  </si>
  <si>
    <t>Customer receipt C026 - INV-2501351</t>
  </si>
  <si>
    <t>BNK25-02012</t>
  </si>
  <si>
    <t>RCP-2501422</t>
  </si>
  <si>
    <t>Customer receipt C012 - INV-2501422</t>
  </si>
  <si>
    <t>BNK25-02013</t>
  </si>
  <si>
    <t>PMT-S001-39615</t>
  </si>
  <si>
    <t>Supplier payment S001 - S001-39615</t>
  </si>
  <si>
    <t>BNK25-02014</t>
  </si>
  <si>
    <t>RCP-2501363</t>
  </si>
  <si>
    <t>Customer receipt C040 - INV-2501363</t>
  </si>
  <si>
    <t>BNK25-02015</t>
  </si>
  <si>
    <t>PMT-S025-90614</t>
  </si>
  <si>
    <t>Supplier payment S025 - S025-90614</t>
  </si>
  <si>
    <t>BNK25-02016</t>
  </si>
  <si>
    <t>RCP-2501366</t>
  </si>
  <si>
    <t>Customer receipt C012 - INV-2501366</t>
  </si>
  <si>
    <t>BNK25-02017</t>
  </si>
  <si>
    <t>RCP-2501481</t>
  </si>
  <si>
    <t>Customer receipt C026 - INV-2501481</t>
  </si>
  <si>
    <t>BNK25-02018</t>
  </si>
  <si>
    <t>PMT-S029-48285</t>
  </si>
  <si>
    <t>Supplier payment S029 - S029-48285</t>
  </si>
  <si>
    <t>BNK25-02019</t>
  </si>
  <si>
    <t>RCP-2501375</t>
  </si>
  <si>
    <t>Customer receipt C006 - INV-2501375</t>
  </si>
  <si>
    <t>BNK25-02020</t>
  </si>
  <si>
    <t>RCP-2501443</t>
  </si>
  <si>
    <t>Customer receipt C021 - INV-2501443</t>
  </si>
  <si>
    <t>BNK25-02021</t>
  </si>
  <si>
    <t>SAL-TRF-2025-12</t>
  </si>
  <si>
    <t>Salary transfer December 2025</t>
  </si>
  <si>
    <t>BNK25-02022</t>
  </si>
  <si>
    <t>RCP-2501344</t>
  </si>
  <si>
    <t>Customer receipt C016 - INV-2501344</t>
  </si>
  <si>
    <t>BNK25-02023</t>
  </si>
  <si>
    <t>RCP-2501447</t>
  </si>
  <si>
    <t>Customer receipt C021 - INV-2501447</t>
  </si>
  <si>
    <t>BNK25-02024</t>
  </si>
  <si>
    <t>PMT-S033-62468</t>
  </si>
  <si>
    <t>Supplier payment S033 - S033-62468</t>
  </si>
  <si>
    <t>BNK25-02025</t>
  </si>
  <si>
    <t>RCP-2501323</t>
  </si>
  <si>
    <t>Customer receipt C035 - INV-2501323</t>
  </si>
  <si>
    <t>BNK25-02026</t>
  </si>
  <si>
    <t>RCP-2501339</t>
  </si>
  <si>
    <t>Customer receipt C022 - INV-2501339</t>
  </si>
  <si>
    <t>BankId</t>
  </si>
  <si>
    <t>Label</t>
  </si>
  <si>
    <t>B001</t>
  </si>
  <si>
    <t>VIR SEPA RECU /DE C001 /REF RCP-2501091</t>
  </si>
  <si>
    <t>B002</t>
  </si>
  <si>
    <t>VIR SEPA RECU /DE C002 /REF RCP-2501129</t>
  </si>
  <si>
    <t>B003</t>
  </si>
  <si>
    <t>VIR SEPA RECU /DE C006 /REF RCP-2501106</t>
  </si>
  <si>
    <t>B004</t>
  </si>
  <si>
    <t>VIR SEPA RECU /DE C006 /REF RCP-2501155</t>
  </si>
  <si>
    <t>B005</t>
  </si>
  <si>
    <t>VIR SEPA RECU /DE C011 /REF RCP-2501231</t>
  </si>
  <si>
    <t>B006</t>
  </si>
  <si>
    <t>VIR SEPA RECU /DE C012 /REF RCP-2501164</t>
  </si>
  <si>
    <t>B007</t>
  </si>
  <si>
    <t>VIR SEPA RECU /DE C012 /REF RCP-2501168</t>
  </si>
  <si>
    <t>B008</t>
  </si>
  <si>
    <t>VIR SEPA RECU /DE C012 /REF RCP-2501227</t>
  </si>
  <si>
    <t>B009</t>
  </si>
  <si>
    <t>VIR SEPA RECU /DE C012 /REF RCP-2501242</t>
  </si>
  <si>
    <t>B010</t>
  </si>
  <si>
    <t>VIR SEPA RECU /DE C020 /REF RCP-2501098</t>
  </si>
  <si>
    <t>B011</t>
  </si>
  <si>
    <t>VIR SEPA RECU /DE C021 /REF RCP-2501157</t>
  </si>
  <si>
    <t>B012</t>
  </si>
  <si>
    <t>VIR SEPA RECU /DE C021 /REF RCP-2501198</t>
  </si>
  <si>
    <t>B013</t>
  </si>
  <si>
    <t>VIR SEPA RECU /DE C026 /REF RCP-2501099</t>
  </si>
  <si>
    <t>B014</t>
  </si>
  <si>
    <t>VIR SEPA RECU /DE C032 /REF RCP-2501256</t>
  </si>
  <si>
    <t>B015</t>
  </si>
  <si>
    <t>VIR SEPA RECU /DE C035 /REF RCP-2501140</t>
  </si>
  <si>
    <t>B016</t>
  </si>
  <si>
    <t>VIR SEPA RECU /DE C035 /REF RCP-2501145</t>
  </si>
  <si>
    <t>B017</t>
  </si>
  <si>
    <t>VIR SEPA RECU /DE C038 /REF RCP-2501107</t>
  </si>
  <si>
    <t>B018</t>
  </si>
  <si>
    <t>VIR SEPA RECU /DE C038 /REF RCP-2501115</t>
  </si>
  <si>
    <t>B019</t>
  </si>
  <si>
    <t>VIR SEPA RECU /DE C040 /REF RCP-2501166</t>
  </si>
  <si>
    <t>B020</t>
  </si>
  <si>
    <t>VIR SEPA RECU /DE C057 /REF RCP-2501095</t>
  </si>
  <si>
    <t>B021</t>
  </si>
  <si>
    <t>VIR SEPA EMIS /A S036 /REF PMT-S036-58394</t>
  </si>
  <si>
    <t>B022</t>
  </si>
  <si>
    <t>VIR SEPA EMIS /A S037 /REF PMT-S037-16040</t>
  </si>
  <si>
    <t>B023</t>
  </si>
  <si>
    <t>VIR SEPA RECU /DE C005 /REF RCP-2501214</t>
  </si>
  <si>
    <t>B024</t>
  </si>
  <si>
    <t>VIR SEPA RECU /DE C022 /REF RCP-2501237</t>
  </si>
  <si>
    <t>B025</t>
  </si>
  <si>
    <t>VIR SEPA RECU /DE C038 /REF RCP-2501310</t>
  </si>
  <si>
    <t>B026</t>
  </si>
  <si>
    <t>VIR SEPA EMIS /A S006 /REF PMT-S006-93250</t>
  </si>
  <si>
    <t>B027</t>
  </si>
  <si>
    <t>VIR SEPA EMIS /A S017 /REF PMT-S017-43468</t>
  </si>
  <si>
    <t>B028</t>
  </si>
  <si>
    <t>VIR SEPA EMIS /A S027 /REF PMT-S027-69720</t>
  </si>
  <si>
    <t>B029</t>
  </si>
  <si>
    <t>VIR SEPA EMIS /A S033 /REF PMT-S033-22207</t>
  </si>
  <si>
    <t>B030</t>
  </si>
  <si>
    <t>VIR SEPA RECU /DE C021</t>
  </si>
  <si>
    <t/>
  </si>
  <si>
    <t>B031</t>
  </si>
  <si>
    <t>VIR SEPA RECU /DE C023 /REF RCP-2501219</t>
  </si>
  <si>
    <t>B032</t>
  </si>
  <si>
    <t>VIR SEPA EMIS /A S027 /REF PMT-S027-64809</t>
  </si>
  <si>
    <t>B033</t>
  </si>
  <si>
    <t>VIR SEPA RECU /DE C012 /REF RCP-2501143</t>
  </si>
  <si>
    <t>B034</t>
  </si>
  <si>
    <t>VIR SEPA RECU /DE C020 /REF RCP-2501305</t>
  </si>
  <si>
    <t>B035</t>
  </si>
  <si>
    <t>VIR SEPA RECU /DE C024 /REF RCP-2501181</t>
  </si>
  <si>
    <t>B036</t>
  </si>
  <si>
    <t>VIR SEPA RECU /DE C038 /REF RCP-2501308</t>
  </si>
  <si>
    <t>B037</t>
  </si>
  <si>
    <t>ECHEANCE PRET PROFESSIONNEL /REF LOAN-2025-12</t>
  </si>
  <si>
    <t>B038</t>
  </si>
  <si>
    <t>VIR SEPA EMIS /A S005 /REF PMT-S005-81345</t>
  </si>
  <si>
    <t>B039</t>
  </si>
  <si>
    <t>VIR SEPA EMIS /A S006 /REF PMT-S006-33900</t>
  </si>
  <si>
    <t>B040</t>
  </si>
  <si>
    <t>VIR SEPA EMIS /A S010 /REF PMT-S010-97970</t>
  </si>
  <si>
    <t>B041</t>
  </si>
  <si>
    <t>VIR SEPA EMIS /A S090 LOYER /REF PMT-RENT-2025-12</t>
  </si>
  <si>
    <t>B042</t>
  </si>
  <si>
    <t>VIR SEPA RECU /DE C017 /REF RCP-2501314</t>
  </si>
  <si>
    <t>B043</t>
  </si>
  <si>
    <t>VIR SEPA RECU /DE C038 /REF RCP-2501272</t>
  </si>
  <si>
    <t>B044</t>
  </si>
  <si>
    <t>VIR SEPA RECU /DE C049 /REF RCP-2501125</t>
  </si>
  <si>
    <t>B045</t>
  </si>
  <si>
    <t>VIR SEPA RECU /DE C051 /REF RCP-2501149</t>
  </si>
  <si>
    <t>B046</t>
  </si>
  <si>
    <t>VIR SEPA EMIS /A S010 /REF PMT-S010-69268</t>
  </si>
  <si>
    <t>B047</t>
  </si>
  <si>
    <t>VIR SEPA RECU /DE C006 /REF RCP-2501269</t>
  </si>
  <si>
    <t>B048</t>
  </si>
  <si>
    <t>VIR SEPA RECU /DE C006 /REF RCP-2501283</t>
  </si>
  <si>
    <t>B049</t>
  </si>
  <si>
    <t>VIR SEPA RECU /DE C006 /REF RCP-2501311</t>
  </si>
  <si>
    <t>B050</t>
  </si>
  <si>
    <t>VIR SEPA RECU /DE C006 /REF RCP-2501321</t>
  </si>
  <si>
    <t>B051</t>
  </si>
  <si>
    <t>VIR SEPA RECU /DE C006 /REF RCP-2501325</t>
  </si>
  <si>
    <t>B052</t>
  </si>
  <si>
    <t>VIR SEPA RECU /DE C012 /REF RCP-2501165</t>
  </si>
  <si>
    <t>B053</t>
  </si>
  <si>
    <t>VIR SEPA RECU /DE C012 /REF RCP-2501213</t>
  </si>
  <si>
    <t>B054</t>
  </si>
  <si>
    <t>VIR SEPA RECU /DE C019 /REF RCP-2501178</t>
  </si>
  <si>
    <t>B055</t>
  </si>
  <si>
    <t>VIR SEPA RECU /DE C021 /REF RCP-2501136</t>
  </si>
  <si>
    <t>B056</t>
  </si>
  <si>
    <t>VIR SEPA RECU /DE C026 /REF RCP-2501160</t>
  </si>
  <si>
    <t>B057</t>
  </si>
  <si>
    <t>VIR SEPA RECU /DE C026 /REF RCP-2501194</t>
  </si>
  <si>
    <t>B058</t>
  </si>
  <si>
    <t>VIR SEPA RECU /DE C031 /REF RCP-2501187</t>
  </si>
  <si>
    <t>B059</t>
  </si>
  <si>
    <t>VIR SEPA RECU /DE C035 /REF RCP-2501174</t>
  </si>
  <si>
    <t>B060</t>
  </si>
  <si>
    <t>VIR SEPA RECU /DE C035 /REF RCP-2501233</t>
  </si>
  <si>
    <t>B061</t>
  </si>
  <si>
    <t>VIR SEPA RECU /DE C035 /REF RCP-2501292</t>
  </si>
  <si>
    <t>B062</t>
  </si>
  <si>
    <t>VIR SEPA RECU /DE C038 /REF RCP-2501285</t>
  </si>
  <si>
    <t>B063</t>
  </si>
  <si>
    <t>VIR SEPA RECU /DE C039 /REF RCP-2501217</t>
  </si>
  <si>
    <t>B064</t>
  </si>
  <si>
    <t>VIR SEPA RECU /DE C042</t>
  </si>
  <si>
    <t>B065</t>
  </si>
  <si>
    <t>VIR SEPA RECU /DE C046 /REF RCP-2501221</t>
  </si>
  <si>
    <t>B066</t>
  </si>
  <si>
    <t>VIR SEPA RECU /DE C047 /REF RCP-2501182</t>
  </si>
  <si>
    <t>B067</t>
  </si>
  <si>
    <t>VIR SEPA RECU /DE C051 /REF RCP-2501196</t>
  </si>
  <si>
    <t>B068</t>
  </si>
  <si>
    <t>VIR SEPA RECU /DE C059 /REF RCP-2501262</t>
  </si>
  <si>
    <t>B069</t>
  </si>
  <si>
    <t>VIR SEPA EMIS /A S018 /REF PMT-S018-81453</t>
  </si>
  <si>
    <t>B070</t>
  </si>
  <si>
    <t>VIR SEPA EMIS /A S022</t>
  </si>
  <si>
    <t>B071</t>
  </si>
  <si>
    <t>VIR SEPA EMIS /A S024 /REF PMT-S024-40661</t>
  </si>
  <si>
    <t>B072</t>
  </si>
  <si>
    <t>VIR SEPA RECU /DE C012 /REF RCP-2501173</t>
  </si>
  <si>
    <t>B073</t>
  </si>
  <si>
    <t>VIR SEPA RECU /DE C012 /REF RCP-2501274</t>
  </si>
  <si>
    <t>B074</t>
  </si>
  <si>
    <t>VIR SEPA RECU /DE C012 /REF RCP-2501302</t>
  </si>
  <si>
    <t>B075</t>
  </si>
  <si>
    <t>VIR SEPA RECU /DE C021 /REF RCP-2501316</t>
  </si>
  <si>
    <t>B076</t>
  </si>
  <si>
    <t>VIR SEPA RECU /DE C022 /REF RCP-2501326</t>
  </si>
  <si>
    <t>B077</t>
  </si>
  <si>
    <t>VIR SEPA RECU /DE C041</t>
  </si>
  <si>
    <t>B078</t>
  </si>
  <si>
    <t>PRLV SEPA ASSURANCE MULTIRISQUE PRO /CONTRAT 2026-ANNUEL</t>
  </si>
  <si>
    <t>B079</t>
  </si>
  <si>
    <t>VIR SEPA EMIS /A S007 /REF PMT-S007-54172</t>
  </si>
  <si>
    <t>B080</t>
  </si>
  <si>
    <t>VIR SEPA EMIS /A S007 /REF PMT-S007-98301</t>
  </si>
  <si>
    <t>B081</t>
  </si>
  <si>
    <t>VIR SEPA EMIS /A S008 /REF PMT-S008-83179</t>
  </si>
  <si>
    <t>B082</t>
  </si>
  <si>
    <t>VIR SEPA EMIS /A S012 /REF PMT-S012-65132</t>
  </si>
  <si>
    <t>B083</t>
  </si>
  <si>
    <t>VIR SEPA EMIS /A S012 /REF PMT-S012-95035</t>
  </si>
  <si>
    <t>B084</t>
  </si>
  <si>
    <t>VIR SEPA EMIS /A S015</t>
  </si>
  <si>
    <t>B085</t>
  </si>
  <si>
    <t>VIR SEPA EMIS /A S037 /REF PMT-S037-59975</t>
  </si>
  <si>
    <t>B086</t>
  </si>
  <si>
    <t>VIR SEPA RECU /DE C006 /REF RCP-2501209</t>
  </si>
  <si>
    <t>B087</t>
  </si>
  <si>
    <t>VIR SEPA RECU /DE C011 /REF RCP-2501358</t>
  </si>
  <si>
    <t>B088</t>
  </si>
  <si>
    <t>VIR SEPA RECU /DE C031 /REF RCP-2501218</t>
  </si>
  <si>
    <t>B089</t>
  </si>
  <si>
    <t>VIR SEPA RECU /DE C034 /REF RCP-2501207</t>
  </si>
  <si>
    <t>B090</t>
  </si>
  <si>
    <t>VIR SEPA RECU /DE C043 /REF RCP-2501179</t>
  </si>
  <si>
    <t>B091</t>
  </si>
  <si>
    <t>VIR SEPA EMIS /A S002 /REF PMT-S002-57517</t>
  </si>
  <si>
    <t>B092</t>
  </si>
  <si>
    <t>VIR SEPA EMIS /A S007 /REF PMT-S007-71290</t>
  </si>
  <si>
    <t>B093</t>
  </si>
  <si>
    <t>VIR SEPA EMIS /A S034 /REF PMT-S034-21015</t>
  </si>
  <si>
    <t>B094</t>
  </si>
  <si>
    <t>VIR SEPA RECU /DE C032 /REF RCP-2501306</t>
  </si>
  <si>
    <t>B095</t>
  </si>
  <si>
    <t>VIR SEPA RECU /DE C056 /REF RCP-2501176</t>
  </si>
  <si>
    <t>B096</t>
  </si>
  <si>
    <t>VIR SEPA RECU /DE C058 /REF RCP-2501341</t>
  </si>
  <si>
    <t>B097</t>
  </si>
  <si>
    <t>VIR SEPA EMIS /A S003 /REF PMT-S003-64937</t>
  </si>
  <si>
    <t>B098</t>
  </si>
  <si>
    <t>VIR SEPA EMIS /A S026 /REF PMT-S026-48268</t>
  </si>
  <si>
    <t>B099</t>
  </si>
  <si>
    <t>VIR SEPA RECU /DE C017 /REF RCP-2501257</t>
  </si>
  <si>
    <t>B100</t>
  </si>
  <si>
    <t>VIR SEPA RECU /DE C021 /REF RCP-2501184</t>
  </si>
  <si>
    <t>B101</t>
  </si>
  <si>
    <t>VIR SEPA RECU /DE C035</t>
  </si>
  <si>
    <t>B102</t>
  </si>
  <si>
    <t>PRLV SEPA URSSAF NORD PAS DE CALAIS /REF URSSAF-2025-11</t>
  </si>
  <si>
    <t>B103</t>
  </si>
  <si>
    <t>VIR SEPA EMIS /A S004 /REF PMT-S004-35290</t>
  </si>
  <si>
    <t>B104</t>
  </si>
  <si>
    <t>VIR SEPA EMIS /A S012 /REF PMT-S012-18111</t>
  </si>
  <si>
    <t>B105</t>
  </si>
  <si>
    <t>VIR SEPA EMIS /A S019 /REF PMT-S019-54526</t>
  </si>
  <si>
    <t>B106</t>
  </si>
  <si>
    <t>VIR SEPA RECU /DE C006 /REF RCP-2501342</t>
  </si>
  <si>
    <t>B107</t>
  </si>
  <si>
    <t>VIR SEPA RECU /DE C006 /REF RCP-2501384</t>
  </si>
  <si>
    <t>B108</t>
  </si>
  <si>
    <t>VIR SEPA RECU /DE C008 /REF RCP-2501249</t>
  </si>
  <si>
    <t>B109</t>
  </si>
  <si>
    <t>VIR SEPA RECU /DE C012 /REF RCP-2501225</t>
  </si>
  <si>
    <t>B110</t>
  </si>
  <si>
    <t>VIR SEPA RECU /DE C012 /REF RCP-2501293</t>
  </si>
  <si>
    <t>B111</t>
  </si>
  <si>
    <t>VIR SEPA RECU /DE C012 /REF RCP-2501324</t>
  </si>
  <si>
    <t>B112</t>
  </si>
  <si>
    <t>VIR SEPA RECU /DE C020 /REF RCP-2501252</t>
  </si>
  <si>
    <t>B113</t>
  </si>
  <si>
    <t>VIR SEPA RECU /DE C021 /REF RCP-2501290</t>
  </si>
  <si>
    <t>B114</t>
  </si>
  <si>
    <t>VIR SEPA RECU /DE C023 /REF RCP-2501370</t>
  </si>
  <si>
    <t>B115</t>
  </si>
  <si>
    <t>B116</t>
  </si>
  <si>
    <t>VIR SEPA RECU /DE C035 /REF RCP-2501271</t>
  </si>
  <si>
    <t>B117</t>
  </si>
  <si>
    <t>VIR SEPA RECU /DE C035 /REF RCP-2501288</t>
  </si>
  <si>
    <t>B118</t>
  </si>
  <si>
    <t>VIR SEPA RECU /DE C035 /REF RCP-2501367</t>
  </si>
  <si>
    <t>B119</t>
  </si>
  <si>
    <t>VIR SEPA RECU /DE C035 /REF RCP-2501388</t>
  </si>
  <si>
    <t>B120</t>
  </si>
  <si>
    <t>VIR SEPA RECU /DE C043 /REF RCP-2501189</t>
  </si>
  <si>
    <t>B121</t>
  </si>
  <si>
    <t>VIR SEPA RECU /DE C043 /REF RCP-2501332</t>
  </si>
  <si>
    <t>B122</t>
  </si>
  <si>
    <t>VIR SEPA RECU /DE C044 /REF RCP-2501348</t>
  </si>
  <si>
    <t>B123</t>
  </si>
  <si>
    <t>VIR SEPA RECU /DE C053 /REF RCP-2501192</t>
  </si>
  <si>
    <t>B124</t>
  </si>
  <si>
    <t>COMMISSION D INTERVENTION</t>
  </si>
  <si>
    <t>B125</t>
  </si>
  <si>
    <t>VIR SEPA EMIS /A S004 /REF PMT-S004-12112</t>
  </si>
  <si>
    <t>B126</t>
  </si>
  <si>
    <t>VIR SEPA EMIS /A S021 /REF PMT-S021-93290</t>
  </si>
  <si>
    <t>B127</t>
  </si>
  <si>
    <t>VIR SEPA EMIS /A S036</t>
  </si>
  <si>
    <t>B128</t>
  </si>
  <si>
    <t>VIR SEPA RECU /DE C004 /REF RCP-2501369</t>
  </si>
  <si>
    <t>B129</t>
  </si>
  <si>
    <t>VIR SEPA RECU /DE C010 /REF RCP-2501259</t>
  </si>
  <si>
    <t>B130</t>
  </si>
  <si>
    <t>VIR SEPA RECU /DE C022 /REF RCP-2501211</t>
  </si>
  <si>
    <t>B131</t>
  </si>
  <si>
    <t>B132</t>
  </si>
  <si>
    <t>VIR SEPA EMIS /A S026 /REF PMT-S026-62618</t>
  </si>
  <si>
    <t>B133</t>
  </si>
  <si>
    <t>VIR SEPA RECU /DE C012 /REF RCP-2501205</t>
  </si>
  <si>
    <t>B134</t>
  </si>
  <si>
    <t>VIR SEPA RECU /DE C021 /REF RCP-2501267</t>
  </si>
  <si>
    <t>B135</t>
  </si>
  <si>
    <t>VIR SEPA RECU /DE C022 /REF RCP-2501383</t>
  </si>
  <si>
    <t>B136</t>
  </si>
  <si>
    <t>VIR SEPA RECU /DE C026 /REF RCP-2501229</t>
  </si>
  <si>
    <t>B137</t>
  </si>
  <si>
    <t>VIR SEPA RECU /DE C006 /REF RCP-2501277</t>
  </si>
  <si>
    <t>B138</t>
  </si>
  <si>
    <t>VIR SEPA RECU /DE C012 /REF RCP-2501282</t>
  </si>
  <si>
    <t>B139</t>
  </si>
  <si>
    <t>VIR SEPA RECU /DE C021 /REF RCP-2501246</t>
  </si>
  <si>
    <t>B140</t>
  </si>
  <si>
    <t>VIR SEPA RECU /DE C047 /MOTIF ACOMPTE COMMANDE JANVIER</t>
  </si>
  <si>
    <t>B141</t>
  </si>
  <si>
    <t>VIR SEPA RECU /DE C051 /REF RCP-2501350</t>
  </si>
  <si>
    <t>B142</t>
  </si>
  <si>
    <t>VIR SEPA RECU /DE C055 /REF RCP-2501220</t>
  </si>
  <si>
    <t>B143</t>
  </si>
  <si>
    <t>VIR SEPA EMIS /A S011 /REF PMT-S011-99443</t>
  </si>
  <si>
    <t>B144</t>
  </si>
  <si>
    <t>VIR SEPA EMIS /A S035 /REF PMT-S035-10113</t>
  </si>
  <si>
    <t>B145</t>
  </si>
  <si>
    <t>VIR SEPA RECU /DE C006 /REF RCP-2501329</t>
  </si>
  <si>
    <t>B146</t>
  </si>
  <si>
    <t>VIR SEPA RECU /DE C017 /REF RCP-2501402</t>
  </si>
  <si>
    <t>B147</t>
  </si>
  <si>
    <t>B148</t>
  </si>
  <si>
    <t>VIR SEPA RECU /DE C022 /REF RCP-2501327</t>
  </si>
  <si>
    <t>B149</t>
  </si>
  <si>
    <t>B150</t>
  </si>
  <si>
    <t>VIR SEPA RECU /DE C035 /REF RCP-2501340</t>
  </si>
  <si>
    <t>B151</t>
  </si>
  <si>
    <t>VIR SEPA RECU /DE C048 /REF RCP-2501263</t>
  </si>
  <si>
    <t>B152</t>
  </si>
  <si>
    <t>VIR SEPA RECU /DE C052 /REF RCP-2501245</t>
  </si>
  <si>
    <t>B153</t>
  </si>
  <si>
    <t>B154</t>
  </si>
  <si>
    <t>VIR SEPA EMIS /A S007 /REF PMT-S007-20671</t>
  </si>
  <si>
    <t>B155</t>
  </si>
  <si>
    <t>VIR SEPA EMIS /A S015 /REF PMT-S015-54384</t>
  </si>
  <si>
    <t>B156</t>
  </si>
  <si>
    <t>VIR SEPA RECU /DE C004 /REF RCP-2501333</t>
  </si>
  <si>
    <t>B157</t>
  </si>
  <si>
    <t>VIR SEPA RECU /DE C005 /REF RCP-2501275</t>
  </si>
  <si>
    <t>B158</t>
  </si>
  <si>
    <t>VIR SEPA RECU /DE C006 /REF RCP-2501270</t>
  </si>
  <si>
    <t>B159</t>
  </si>
  <si>
    <t>VIR SEPA RECU /DE C006 /REF RCP-2501279</t>
  </si>
  <si>
    <t>B160</t>
  </si>
  <si>
    <t>VIR SEPA RECU /DE C012 /REF RCP-2501417</t>
  </si>
  <si>
    <t>B161</t>
  </si>
  <si>
    <t>VIR SEPA RECU /DE C014 /REF RCP-2501392</t>
  </si>
  <si>
    <t>B162</t>
  </si>
  <si>
    <t>VIR SEPA RECU /DE C016 /REF RCP-2501420</t>
  </si>
  <si>
    <t>B163</t>
  </si>
  <si>
    <t>VIR SEPA RECU /DE C018 /REF RCP-2501413</t>
  </si>
  <si>
    <t>B164</t>
  </si>
  <si>
    <t>VIR SEPA RECU /DE C020 /REF RCP-2501281</t>
  </si>
  <si>
    <t>B165</t>
  </si>
  <si>
    <t>VIR SEPA RECU /DE C024 /REF RCP-2501210</t>
  </si>
  <si>
    <t>B166</t>
  </si>
  <si>
    <t>VIR SEPA RECU /DE C024 /REF RCP-2501291</t>
  </si>
  <si>
    <t>B167</t>
  </si>
  <si>
    <t>VIR SEPA RECU /DE C032 /REF RCP-2501315</t>
  </si>
  <si>
    <t>B168</t>
  </si>
  <si>
    <t>VIR SEPA RECU /DE C035 /REF RCP-2501380</t>
  </si>
  <si>
    <t>B169</t>
  </si>
  <si>
    <t>VIR SEPA RECU /DE C035 /REF RCP-2501385</t>
  </si>
  <si>
    <t>B170</t>
  </si>
  <si>
    <t>VIR SEPA RECU /DE C042 /REF RCP-2501374</t>
  </si>
  <si>
    <t>B171</t>
  </si>
  <si>
    <t>VIR SEPA RECU /DE C043 /REF RCP-2501376</t>
  </si>
  <si>
    <t>B172</t>
  </si>
  <si>
    <t>VIR SEPA RECU /DE C047 /REF RCP-2501317</t>
  </si>
  <si>
    <t>B173</t>
  </si>
  <si>
    <t>VIR SEPA RECU /DE C056</t>
  </si>
  <si>
    <t>B174</t>
  </si>
  <si>
    <t>VIR SEPA EMIS /A S008 /REF PMT-S008-37617</t>
  </si>
  <si>
    <t>B175</t>
  </si>
  <si>
    <t>VIR SEPA EMIS /A S008 /REF PMT-S008-59527</t>
  </si>
  <si>
    <t>B176</t>
  </si>
  <si>
    <t>VIR SEPA EMIS /A S018</t>
  </si>
  <si>
    <t>B177</t>
  </si>
  <si>
    <t>VIR SEPA RECU /DE C006 /REF RCP-2501445</t>
  </si>
  <si>
    <t>B178</t>
  </si>
  <si>
    <t>VIR SEPA RECU /DE C012 /REF RCP-2501236</t>
  </si>
  <si>
    <t>B179</t>
  </si>
  <si>
    <t>VIR SEPA RECU /DE C012 /REF RCP-2501428</t>
  </si>
  <si>
    <t>B180</t>
  </si>
  <si>
    <t>VIR SEPA RECU /DE C015 /REF RCP-2501334</t>
  </si>
  <si>
    <t>B181</t>
  </si>
  <si>
    <t>VIR SEPA RECU /DE C030 /REF RCP-2501377</t>
  </si>
  <si>
    <t>B182</t>
  </si>
  <si>
    <t>VIR SEPA EMIS /A S011 /REF PMT-S011-90207</t>
  </si>
  <si>
    <t>B183</t>
  </si>
  <si>
    <t>VIR SEPA RECU /DE C012 /REF RCP-2501276</t>
  </si>
  <si>
    <t>B184</t>
  </si>
  <si>
    <t>VIR SEPA RECU /DE C025 /REF RCP-2501435</t>
  </si>
  <si>
    <t>B185</t>
  </si>
  <si>
    <t>VIR SEPA RECU /DE C038 /REF RCP-2501364</t>
  </si>
  <si>
    <t>B186</t>
  </si>
  <si>
    <t>VIR SEPA RECU /DE C043 /REF RCP-2501313</t>
  </si>
  <si>
    <t>B187</t>
  </si>
  <si>
    <t>VIR SEPA RECU /DE C050 /REF RCP-2501359</t>
  </si>
  <si>
    <t>B188</t>
  </si>
  <si>
    <t>VIR SEPA RECU /DE C054 /REF RCP-2501309</t>
  </si>
  <si>
    <t>B189</t>
  </si>
  <si>
    <t>VIR SEPA EMIS /A S002 /REF PMT-S002-12329</t>
  </si>
  <si>
    <t>B190</t>
  </si>
  <si>
    <t>VIR SEPA EMIS /A S004 /REF PMT-S004-52243</t>
  </si>
  <si>
    <t>B191</t>
  </si>
  <si>
    <t>VIR SEPA EMIS /A S014 /REF PMT-S014-20952</t>
  </si>
  <si>
    <t>B192</t>
  </si>
  <si>
    <t>VIR SEPA RECU /DE C006 /REF RCP-2501431</t>
  </si>
  <si>
    <t>B193</t>
  </si>
  <si>
    <t>VIR SEPA RECU /DE C020 /REF RCP-2501258</t>
  </si>
  <si>
    <t>B194</t>
  </si>
  <si>
    <t>VIR SEPA RECU /DE C022 /REF RCP-2501299</t>
  </si>
  <si>
    <t>B195</t>
  </si>
  <si>
    <t>VIR SEPA RECU /DE C023 /REF RCP-2501266</t>
  </si>
  <si>
    <t>B196</t>
  </si>
  <si>
    <t>VIR SEPA RECU /DE C029 /REF RCP-2501368</t>
  </si>
  <si>
    <t>B197</t>
  </si>
  <si>
    <t>VIR SEPA RECU /DE C033 /REF RCP-2501307</t>
  </si>
  <si>
    <t>B198</t>
  </si>
  <si>
    <t>VIR SEPA RECU /DE C035 /REF RCP-2501240</t>
  </si>
  <si>
    <t>B199</t>
  </si>
  <si>
    <t>VIR SEPA RECU /DE C035 /REF RCP-2501287</t>
  </si>
  <si>
    <t>B200</t>
  </si>
  <si>
    <t>VIR SEPA RECU /DE C035 /REF RCP-2501337</t>
  </si>
  <si>
    <t>B201</t>
  </si>
  <si>
    <t>VIR SEPA RECU /DE C038 /REF RCP-2501328</t>
  </si>
  <si>
    <t>B202</t>
  </si>
  <si>
    <t>VIR SEPA EMIS /A S004 /REF PMT-S004-23812</t>
  </si>
  <si>
    <t>B203</t>
  </si>
  <si>
    <t>VIR SEPA RECU /DE C001 /REF RCP-2501396</t>
  </si>
  <si>
    <t>B204</t>
  </si>
  <si>
    <t>VIR SEPA RECU /DE C006 /REF RCP-2501297</t>
  </si>
  <si>
    <t>B205</t>
  </si>
  <si>
    <t>VIR SEPA RECU /DE C006 /REF RCP-2501300</t>
  </si>
  <si>
    <t>B206</t>
  </si>
  <si>
    <t>VIR SEPA RECU /DE C006 /REF RCP-2501419</t>
  </si>
  <si>
    <t>B207</t>
  </si>
  <si>
    <t>VIR SEPA RECU /DE C012 /REF RCP-2501422</t>
  </si>
  <si>
    <t>B208</t>
  </si>
  <si>
    <t>VIR SEPA RECU /DE C018 /REF RCP-2501354</t>
  </si>
  <si>
    <t>B209</t>
  </si>
  <si>
    <t>VIR SEPA RECU /DE C021 /REF RCP-2501304</t>
  </si>
  <si>
    <t>B210</t>
  </si>
  <si>
    <t>VIR SEPA RECU /DE C022 /REF RCP-2501397</t>
  </si>
  <si>
    <t>B211</t>
  </si>
  <si>
    <t>VIR SEPA RECU /DE C024</t>
  </si>
  <si>
    <t>B212</t>
  </si>
  <si>
    <t>VIR SEPA RECU /DE C026 /REF RCP-2501351</t>
  </si>
  <si>
    <t>B213</t>
  </si>
  <si>
    <t>VIR SEPA RECU /DE C035 /REF RCP-2501357</t>
  </si>
  <si>
    <t>B214</t>
  </si>
  <si>
    <t>VIR SEPA RECU /DE C035 /REF RCP-2501425</t>
  </si>
  <si>
    <t>B215</t>
  </si>
  <si>
    <t>VIR SEPA RECU /DE C038 /REF RCP-2501322</t>
  </si>
  <si>
    <t>B216</t>
  </si>
  <si>
    <t>VIR SEPA RECU /DE C038 /REF RCP-2501378</t>
  </si>
  <si>
    <t>B217</t>
  </si>
  <si>
    <t>VIR SEPA EMIS /A S007 /REF PMT-S007-96269</t>
  </si>
  <si>
    <t>B218</t>
  </si>
  <si>
    <t>VIR SEPA EMIS /A S008 /REF PMT-S008-90218</t>
  </si>
  <si>
    <t>B219</t>
  </si>
  <si>
    <t>VIR SEPA RECU /DE C006 /REF RCP-2501375</t>
  </si>
  <si>
    <t>B220</t>
  </si>
  <si>
    <t>VIR SEPA RECU /DE C012 /REF RCP-2501366</t>
  </si>
  <si>
    <t>B221</t>
  </si>
  <si>
    <t>VIR SEPA RECU /DE C026 /REF RCP-2501481</t>
  </si>
  <si>
    <t>B222</t>
  </si>
  <si>
    <t>VIR SEPA RECU /DE C040 /REF RCP-2501363</t>
  </si>
  <si>
    <t>B223</t>
  </si>
  <si>
    <t>COMMISSIONS CARTES BANCAIRES DECEMBRE</t>
  </si>
  <si>
    <t>B224</t>
  </si>
  <si>
    <t>FRAIS TENUE DE COMPTE DECEMBRE</t>
  </si>
  <si>
    <t>B225</t>
  </si>
  <si>
    <t>VIR SEPA EMIS /A S010 /REF PMT-S010-89710</t>
  </si>
  <si>
    <t>B226</t>
  </si>
  <si>
    <t>VIR SEPA EMIS /A SALAIRES DECEMBRE /REF SAL-TRF-2025-12</t>
  </si>
  <si>
    <t>B227</t>
  </si>
  <si>
    <t>VIR SEPA RECU /DE C016 /REF RCP-2501344</t>
  </si>
  <si>
    <t>B228</t>
  </si>
  <si>
    <t>VIR SEPA RECU /DE C021 /REF RCP-2501443</t>
  </si>
  <si>
    <t>B229</t>
  </si>
  <si>
    <t>VIR SEPA RECU /DE C022</t>
  </si>
  <si>
    <t>MatchedByRef</t>
  </si>
  <si>
    <t>RefEntry</t>
  </si>
  <si>
    <t>AmountEntry</t>
  </si>
  <si>
    <t>MatchedEntry</t>
  </si>
  <si>
    <t>MatchRule</t>
  </si>
  <si>
    <t>BookAmount</t>
  </si>
  <si>
    <t>Difference</t>
  </si>
  <si>
    <t>Status</t>
  </si>
  <si>
    <t>ItemNo</t>
  </si>
  <si>
    <t>Bank reconciliation statement</t>
  </si>
  <si>
    <t>Amount (EUR)</t>
  </si>
  <si>
    <t>Items</t>
  </si>
  <si>
    <t>A. Balance per bank</t>
  </si>
  <si>
    <t>Closing balance per bank statement</t>
  </si>
  <si>
    <t>Add: deposits in transit (in the books, not yet on the statement)</t>
  </si>
  <si>
    <t>Less: outstanding payments (in the books, not yet debited)</t>
  </si>
  <si>
    <t>Adjusted bank balance</t>
  </si>
  <si>
    <t>B. Balance per books</t>
  </si>
  <si>
    <t>Closing balance per books</t>
  </si>
  <si>
    <t>Add/less: bank items not yet booked</t>
  </si>
  <si>
    <t>Add/less: amounts keyed differently in the books</t>
  </si>
  <si>
    <t>Adjusted book balance</t>
  </si>
  <si>
    <t>Unexplained difference (A - B)</t>
  </si>
  <si>
    <t>Integrity checks</t>
  </si>
  <si>
    <t>Imported statement lines add up to the printed closing balance</t>
  </si>
  <si>
    <t>Opening balances agree (bank vs books)</t>
  </si>
  <si>
    <t>No ledger entry is matched to two bank lines</t>
  </si>
  <si>
    <t>Items to explain and proposed actions</t>
  </si>
  <si>
    <t>Filled automatically from the Bank and Ledger tables: bank-side items first, then items that are only in the books.</t>
  </si>
  <si>
    <t>Capacity</t>
  </si>
  <si>
    <t>#</t>
  </si>
  <si>
    <t>Source</t>
  </si>
  <si>
    <t>Proposed action</t>
  </si>
  <si>
    <t>December 2025 bank reconciliation</t>
  </si>
  <si>
    <t>Lumen Supplies SAS (fictitious)  ·  refresh with Data &gt; Refresh All</t>
  </si>
  <si>
    <t>Bank lines</t>
  </si>
  <si>
    <t>Matched automatically</t>
  </si>
  <si>
    <t>Items to explain</t>
  </si>
  <si>
    <t>Result</t>
  </si>
  <si>
    <t>Bank lines by matching result</t>
  </si>
  <si>
    <t>Lines</t>
  </si>
  <si>
    <t>Matched by reference</t>
  </si>
  <si>
    <t>Matched by amount and date</t>
  </si>
  <si>
    <t>Matched, amount differs</t>
  </si>
  <si>
    <t>Not in the books</t>
  </si>
  <si>
    <t>Reconciling items by category</t>
  </si>
  <si>
    <t>Deposit in transit</t>
  </si>
  <si>
    <t>Outstanding payment</t>
  </si>
  <si>
    <t>Amount difference</t>
  </si>
  <si>
    <t>Bank reconciliation tool</t>
  </si>
  <si>
    <t>Lumen Supplies SAS (fictitious company)  ·  December 2025  ·  portfolio project by Maureen Wiart</t>
  </si>
  <si>
    <t>Why</t>
  </si>
  <si>
    <t>Reconciling the bank statement with the ledger every month is slow when done by hand, and errors slip through. This workbook does the matching and lists only what needs a human.</t>
  </si>
  <si>
    <t>How to use it</t>
  </si>
  <si>
    <t>1. Save next month's bank CSV export and ledger extract in the data folder.</t>
  </si>
  <si>
    <t>2. Update the file names, period and balances on the Settings sheet (blue cells).</t>
  </si>
  <si>
    <t>3. Data &gt; Refresh All. Then read Summary, Reconciliation and Actions.</t>
  </si>
  <si>
    <t>How it works</t>
  </si>
  <si>
    <t>Power Query imports and cleans both files (French date and number formats, label cleaning, reference extraction).</t>
  </si>
  <si>
    <t>Each bank line is matched to a ledger entry by reference (XLOOKUP); lines without a reference are matched on amount within a date tolerance.</t>
  </si>
  <si>
    <t>Unmatched lines are classified with the keyword rules on the Rules sheet, which propose an action.</t>
  </si>
  <si>
    <t>Sheets</t>
  </si>
  <si>
    <t>Summary · Reconciliation · Actions · Bank · Ledger · Rules · Settings</t>
  </si>
  <si>
    <t>Colour code</t>
  </si>
  <si>
    <t>Blue text on blue fill = input you can change. Green = matched / check passed. Amber = timing difference. Red = needs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</si>
</sst>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;\-#,##0.00;0.00"/>
    <numFmt numFmtId="166" formatCode="0.0%"/>
  </numFmts>
  <fonts count="11" x14ac:knownFonts="1">
    <font>
      <sz val="10"/>
      <color theme="1"/>
      <name val="Arial"/>
      <family val="2"/>
    </font>
    <font>
      <b/>
      <sz val="16"/>
      <color rgb="FF0B0B0B"/>
      <name val="Arial"/>
      <family val="2"/>
    </font>
    <font>
      <sz val="10"/>
      <color rgb="FF52514E"/>
      <name val="Arial"/>
      <family val="2"/>
    </font>
    <font>
      <sz val="10"/>
      <color rgb="FF0B0B0B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b/>
      <sz val="18"/>
      <color rgb="FF0B0B0B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20"/>
      <color theme="1"/>
      <name val="Arial"/>
      <family val="2"/>
    </font>
    <font>
      <b/>
      <sz val="20"/>
      <color rgb="FF0B0B0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6EFFB"/>
        <bgColor indexed="64"/>
      </patternFill>
    </fill>
    <fill>
      <patternFill patternType="solid">
        <fgColor rgb="FFF0EFEC"/>
        <bgColor indexed="64"/>
      </patternFill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3" fillId="0" borderId="0" xfId="0" applyNumberFormat="1" applyFont="1" applyAlignment="1">
      <alignment horizontal="left"/>
    </xf>
    <xf numFmtId="49" fontId="4" fillId="2" borderId="0" xfId="0" applyNumberFormat="1" applyFont="1" applyFill="1" applyAlignment="1">
      <alignment horizontal="left"/>
    </xf>
    <xf numFmtId="164" fontId="0" fillId="0" borderId="0" xfId="0" applyNumberFormat="1"/>
    <xf numFmtId="164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0" fontId="0" fillId="0" borderId="0" xfId="0" applyNumberFormat="1"/>
    <xf numFmtId="165" fontId="0" fillId="0" borderId="0" xfId="0" applyNumberFormat="1"/>
    <xf numFmtId="0" fontId="6" fillId="0" borderId="0" xfId="0" applyFont="1"/>
    <xf numFmtId="0" fontId="7" fillId="0" borderId="0" xfId="0" applyFont="1"/>
    <xf numFmtId="0" fontId="7" fillId="3" borderId="0" xfId="0" applyFont="1" applyFill="1"/>
    <xf numFmtId="0" fontId="7" fillId="0" borderId="1" xfId="0" applyFont="1" applyBorder="1"/>
    <xf numFmtId="165" fontId="7" fillId="0" borderId="1" xfId="0" applyNumberFormat="1" applyFont="1" applyBorder="1"/>
    <xf numFmtId="0" fontId="0" fillId="3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8" fillId="4" borderId="0" xfId="0" applyFont="1" applyFill="1"/>
    <xf numFmtId="1" fontId="9" fillId="0" borderId="0" xfId="0" applyNumberFormat="1" applyFont="1" applyAlignment="1">
      <alignment horizontal="left"/>
    </xf>
    <xf numFmtId="166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10" fillId="0" borderId="0" xfId="0" applyFont="1"/>
  </cellXfs>
  <cellStyles count="1">
    <cellStyle name="Normal" xfId="0" builtinId="0" customBuiltin="1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;\-#,##0.00;0.00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;\-#,##0.00;0.00"/>
    </dxf>
    <dxf>
      <numFmt numFmtId="165" formatCode="#,##0.00;\-#,##0.00;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.00;\-#,##0.00;0.00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font>
        <color rgb="FF006300"/>
      </font>
      <fill>
        <patternFill>
          <bgColor rgb="FFE2F4E2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006300"/>
      </font>
      <fill>
        <patternFill>
          <bgColor rgb="FFE2F4E2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006300"/>
      </font>
      <fill>
        <patternFill>
          <bgColor rgb="FFE2F4E2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006300"/>
      </font>
      <fill>
        <patternFill>
          <bgColor rgb="FFE2F4E2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006300"/>
      </font>
      <fill>
        <patternFill>
          <bgColor rgb="FFE2F4E2"/>
        </patternFill>
      </fill>
    </dxf>
    <dxf>
      <font>
        <color rgb="FF0B0B0B"/>
      </font>
      <fill>
        <patternFill>
          <bgColor rgb="FFFEF3D6"/>
        </patternFill>
      </fill>
    </dxf>
    <dxf>
      <font>
        <color rgb="FF0B0B0B"/>
      </font>
      <fill>
        <patternFill>
          <bgColor rgb="FFFEF3D6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006300"/>
      </font>
      <fill>
        <patternFill>
          <bgColor rgb="FFE2F4E2"/>
        </patternFill>
      </fill>
    </dxf>
    <dxf>
      <font>
        <color rgb="FF0B0B0B"/>
      </font>
      <fill>
        <patternFill>
          <bgColor rgb="FFFEF3D6"/>
        </patternFill>
      </fill>
    </dxf>
    <dxf>
      <font>
        <color rgb="FF0B0B0B"/>
      </font>
      <fill>
        <patternFill>
          <bgColor rgb="FFFEF3D6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D03B3B"/>
      </font>
      <fill>
        <patternFill>
          <bgColor rgb="FFFBE6E6"/>
        </patternFill>
      </fill>
    </dxf>
    <dxf>
      <font>
        <color rgb="FF006300"/>
      </font>
      <fill>
        <patternFill>
          <bgColor rgb="FFE2F4E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Bank lines by matching 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Lines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Summary!$B$11:$B$14</c:f>
              <c:strCache>
                <c:ptCount val="4"/>
                <c:pt idx="0">
                  <c:v>Matched by reference</c:v>
                </c:pt>
                <c:pt idx="1">
                  <c:v>Matched by amount and date</c:v>
                </c:pt>
                <c:pt idx="2">
                  <c:v>Matched, amount differs</c:v>
                </c:pt>
                <c:pt idx="3">
                  <c:v>Not in the books</c:v>
                </c:pt>
              </c:strCache>
            </c:strRef>
          </c:cat>
          <c:val>
            <c:numRef>
              <c:f>Summary!$C$11:$C$14</c:f>
              <c:numCache>
                <c:formatCode>General</c:formatCode>
                <c:ptCount val="4"/>
                <c:pt idx="0">
                  <c:v>207</c:v>
                </c:pt>
                <c:pt idx="1">
                  <c:v>15</c:v>
                </c:pt>
                <c:pt idx="2">
                  <c:v>1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A-46F8-9D6B-5E9A81C59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394496"/>
        <c:axId val="1860556560"/>
      </c:barChart>
      <c:catAx>
        <c:axId val="252394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0556560"/>
        <c:crosses val="autoZero"/>
        <c:auto val="1"/>
        <c:lblAlgn val="ctr"/>
        <c:lblOffset val="100"/>
        <c:noMultiLvlLbl val="0"/>
      </c:catAx>
      <c:valAx>
        <c:axId val="18605565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239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11</xdr:col>
      <xdr:colOff>706120</xdr:colOff>
      <xdr:row>25</xdr:row>
      <xdr:rowOff>71120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5060584-2865-E96B-53C3-CF3EAC5A8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2" xr16:uid="{D7327B20-15CE-4D24-8007-8E9532858B3E}" autoFormatId="0" applyNumberFormats="0" applyBorderFormats="0" applyFontFormats="1" applyPatternFormats="1" applyAlignmentFormats="0" applyWidthHeightFormats="0">
  <queryTableRefresh nextId="16" unboundColumnsRight="10">
    <queryTableFields count="15">
      <queryTableField id="1" name="BankId" tableColumnId="6"/>
      <queryTableField id="2" name="Date" tableColumnId="7"/>
      <queryTableField id="3" name="Label" tableColumnId="8"/>
      <queryTableField id="4" name="Reference" tableColumnId="9"/>
      <queryTableField id="5" name="Amount" tableColumnId="10"/>
      <queryTableField id="6" dataBound="0" tableColumnId="11"/>
      <queryTableField id="7" dataBound="0" tableColumnId="12"/>
      <queryTableField id="8" dataBound="0" tableColumnId="13"/>
      <queryTableField id="9" dataBound="0" tableColumnId="14"/>
      <queryTableField id="10" dataBound="0" tableColumnId="15"/>
      <queryTableField id="11" dataBound="0" tableColumnId="16"/>
      <queryTableField id="12" dataBound="0" tableColumnId="17"/>
      <queryTableField id="13" dataBound="0" tableColumnId="18"/>
      <queryTableField id="14" dataBound="0" tableColumnId="19"/>
      <queryTableField id="15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backgroundRefresh="0" connectionId="1" xr16:uid="{7F0EE38F-323F-4C17-9FDB-E474A2D6AA30}" autoFormatId="0" applyNumberFormats="0" applyBorderFormats="0" applyFontFormats="1" applyPatternFormats="1" applyAlignmentFormats="0" applyWidthHeightFormats="0">
  <queryTableRefresh nextId="11" unboundColumnsRight="5">
    <queryTableFields count="10">
      <queryTableField id="1" name="Entry" tableColumnId="6"/>
      <queryTableField id="2" name="Date" tableColumnId="7"/>
      <queryTableField id="3" name="Reference" tableColumnId="8"/>
      <queryTableField id="4" name="Description" tableColumnId="9"/>
      <queryTableField id="5" name="Amount" tableColumnId="10"/>
      <queryTableField id="6" dataBound="0" tableColumnId="11"/>
      <queryTableField id="7" dataBound="0" tableColumnId="12"/>
      <queryTableField id="8" dataBound="0" tableColumnId="13"/>
      <queryTableField id="9" dataBound="0" tableColumnId="14"/>
      <queryTableField id="10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638AA4-BA12-4104-A9E0-6D3D6F388784}" name="tblBank" displayName="tblBank" ref="A1:O230" tableType="queryTable" totalsRowShown="0">
  <autoFilter ref="A1:O230" xr:uid="{CC638AA4-BA12-4104-A9E0-6D3D6F388784}"/>
  <tableColumns count="15">
    <tableColumn id="6" xr3:uid="{3C5046A0-D82A-4A15-8BF3-79F34DDD1BCD}" uniqueName="6" name="BankId" queryTableFieldId="1" dataDxfId="24"/>
    <tableColumn id="7" xr3:uid="{91234E49-8457-4D10-973D-F4CC546CBF66}" uniqueName="7" name="Date" queryTableFieldId="2" dataDxfId="23"/>
    <tableColumn id="8" xr3:uid="{5B2D33EB-9EEB-4D61-97A1-A0C9654469AF}" uniqueName="8" name="Label" queryTableFieldId="3" dataDxfId="22"/>
    <tableColumn id="9" xr3:uid="{B4C95D4E-4167-48A3-94CE-EF22822F4C6B}" uniqueName="9" name="Reference" queryTableFieldId="4" dataDxfId="21"/>
    <tableColumn id="10" xr3:uid="{45B2C6EE-612D-4103-B5FB-9ED14C8E1199}" uniqueName="10" name="Amount" queryTableFieldId="5" dataDxfId="20"/>
    <tableColumn id="11" xr3:uid="{5598F66F-B2DF-4DA8-8BFA-373B646C57BC}" uniqueName="11" name="RefEntry" queryTableFieldId="6" dataDxfId="19">
      <calculatedColumnFormula>IF(tblBank[[#This Row],[Reference]]="","",IFERROR(INDEX(tblLedger[Entry],MATCH(tblBank[[#This Row],[Reference]],tblLedger[Reference],0)),""))</calculatedColumnFormula>
    </tableColumn>
    <tableColumn id="12" xr3:uid="{13D629F4-FB2B-4FD2-B7F7-18C1C6900D30}" uniqueName="12" name="AmountEntry" queryTableFieldId="7" dataDxfId="18">
      <calculatedColumnFormula>IF(tblBank[[#This Row],[RefEntry]]&lt;&gt;"","",IFERROR(INDEX(tblLedger[Entry],MATCH(1,INDEX((tblLedger[Amount]=tblBank[[#This Row],[Amount]])*(tblLedger[MatchedByRef]=FALSE)*(ABS(tblLedger[Date]-tblBank[[#This Row],[Date]])&lt;=DateTolerance),0),0)),""))</calculatedColumnFormula>
    </tableColumn>
    <tableColumn id="13" xr3:uid="{B233B135-6F6B-4BEA-8B5E-FAA79B0DDDC7}" uniqueName="13" name="MatchedEntry" queryTableFieldId="8" dataDxfId="17">
      <calculatedColumnFormula>IF(tblBank[[#This Row],[RefEntry]]&lt;&gt;"",tblBank[[#This Row],[RefEntry]],tblBank[[#This Row],[AmountEntry]])</calculatedColumnFormula>
    </tableColumn>
    <tableColumn id="14" xr3:uid="{4E05C62D-379C-415C-948D-2D6CBBC625D5}" uniqueName="14" name="MatchRule" queryTableFieldId="9" dataDxfId="16">
      <calculatedColumnFormula>IF(tblBank[[#This Row],[RefEntry]]&lt;&gt;"","Reference",IF(tblBank[[#This Row],[AmountEntry]]&lt;&gt;"","Amount and date","None"))</calculatedColumnFormula>
    </tableColumn>
    <tableColumn id="15" xr3:uid="{43832179-3B5B-4D53-BBF9-9488846DEF63}" uniqueName="15" name="BookAmount" queryTableFieldId="10" dataDxfId="15">
      <calculatedColumnFormula>IF(tblBank[[#This Row],[MatchedEntry]]="","",INDEX(tblLedger[Amount],MATCH(tblBank[[#This Row],[MatchedEntry]],tblLedger[Entry],0)))</calculatedColumnFormula>
    </tableColumn>
    <tableColumn id="16" xr3:uid="{0FC42E42-DF08-44BA-BBA0-A4873D7F308A}" uniqueName="16" name="Difference" queryTableFieldId="11" dataDxfId="14">
      <calculatedColumnFormula>IF(tblBank[[#This Row],[MatchedEntry]]="",0,ROUND(tblBank[[#This Row],[Amount]]-tblBank[[#This Row],[BookAmount]],2))</calculatedColumnFormula>
    </tableColumn>
    <tableColumn id="17" xr3:uid="{0A925959-3515-4E18-A722-D68EE2320BEA}" uniqueName="17" name="Status" queryTableFieldId="12" dataDxfId="13">
      <calculatedColumnFormula>IF(tblBank[[#This Row],[MatchedEntry]]="","Not in books",IF(tblBank[[#This Row],[Difference]]&lt;&gt;0,"Amount difference","Matched"))</calculatedColumnFormula>
    </tableColumn>
    <tableColumn id="18" xr3:uid="{D78DB73C-B821-4F8A-922C-FADEAEA62E6E}" uniqueName="18" name="Category" queryTableFieldId="13" dataDxfId="12">
      <calculatedColumnFormula>IF(tblBank[[#This Row],[Status]]="Matched","",IF(tblBank[[#This Row],[Status]]="Amount difference","Amount difference",IFERROR(INDEX(tblRules[Category],MATCH(TRUE,INDEX(ISNUMBER(SEARCH(tblRules[Keyword],tblBank[[#This Row],[Label]])),0),0)),"Other")))</calculatedColumnFormula>
    </tableColumn>
    <tableColumn id="19" xr3:uid="{67067E62-5B82-4AFA-BDBE-F3BB9F058F23}" uniqueName="19" name="Action" queryTableFieldId="14" dataDxfId="11">
      <calculatedColumnFormula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calculatedColumnFormula>
    </tableColumn>
    <tableColumn id="20" xr3:uid="{291F7F85-8284-4327-89FA-B9833BD4AAD7}" uniqueName="20" name="ItemNo" queryTableFieldId="15" dataDxfId="10">
      <calculatedColumnFormula>IF(tblBank[[#This Row],[Status]]="Matched","",COUNTIF(INDEX(tblBank[Status],1):tblBank[[#This Row],[Status]],"&lt;&gt;Matched"))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641243-1E79-499E-AE21-354D33D7AA3A}" name="tblLedger" displayName="tblLedger" ref="A1:J233" tableType="queryTable" totalsRowShown="0">
  <autoFilter ref="A1:J233" xr:uid="{C8641243-1E79-499E-AE21-354D33D7AA3A}"/>
  <tableColumns count="10">
    <tableColumn id="6" xr3:uid="{CDE63210-C456-4C95-8DAC-48AE6BE0956E}" uniqueName="6" name="Entry" queryTableFieldId="1" dataDxfId="9"/>
    <tableColumn id="7" xr3:uid="{4B4351C3-62EC-4307-B3FC-2D63E65A9B25}" uniqueName="7" name="Date" queryTableFieldId="2" dataDxfId="8"/>
    <tableColumn id="8" xr3:uid="{B3412D3B-EA55-49C0-ADC7-F1CDAC877DC3}" uniqueName="8" name="Reference" queryTableFieldId="3" dataDxfId="7"/>
    <tableColumn id="9" xr3:uid="{AEAE4FEB-C1E8-4D37-B4C7-B15AED8B4293}" uniqueName="9" name="Description" queryTableFieldId="4" dataDxfId="6"/>
    <tableColumn id="10" xr3:uid="{D24CB950-EB5D-4ED2-82AA-8AC2E9AEF9EE}" uniqueName="10" name="Amount" queryTableFieldId="5" dataDxfId="5"/>
    <tableColumn id="11" xr3:uid="{C043FCDE-340D-4E8D-A8B6-5C6D85D7C5E4}" uniqueName="11" name="MatchedByRef" queryTableFieldId="6" dataDxfId="4">
      <calculatedColumnFormula>COUNTIF(tblBank[Reference],tblLedger[[#This Row],[Reference]])&gt;0</calculatedColumnFormula>
    </tableColumn>
    <tableColumn id="12" xr3:uid="{055D611A-9129-4996-82F4-F74495DE96DF}" uniqueName="12" name="BankId" queryTableFieldId="7" dataDxfId="3">
      <calculatedColumnFormula>IFERROR(INDEX(tblBank[BankId],MATCH(tblLedger[[#This Row],[Entry]],tblBank[MatchedEntry],0)),"")</calculatedColumnFormula>
    </tableColumn>
    <tableColumn id="13" xr3:uid="{5FAD9753-1A4D-44D4-BC46-EFE05A3888B6}" uniqueName="13" name="Status" queryTableFieldId="8" dataDxfId="2">
      <calculatedColumnFormula>IF(tblLedger[[#This Row],[BankId]]&lt;&gt;"","Matched",IF(tblLedger[[#This Row],[Amount]]&gt;0,"Deposit in transit","Outstanding payment"))</calculatedColumnFormula>
    </tableColumn>
    <tableColumn id="14" xr3:uid="{9DEB3DC3-533A-40EA-8776-1F5C8C8ACE98}" uniqueName="14" name="Action" queryTableFieldId="9" dataDxfId="1">
      <calculatedColumnFormula>IF(tblLedger[[#This Row],[Status]]="Matched","",IF(tblLedger[[#This Row],[Status]]="Deposit in transit","Check it is credited on the January statement","Check it is debited on the January statement"))</calculatedColumnFormula>
    </tableColumn>
    <tableColumn id="15" xr3:uid="{6C3969BD-3806-41C9-B5A6-74C0E312B09C}" uniqueName="15" name="ItemNo" queryTableFieldId="10" dataDxfId="0">
      <calculatedColumnFormula>IF(tblLedger[[#This Row],[Status]]="Matched","",COUNTIF(tblBank[Status],"&lt;&gt;Matched")+COUNTIF(INDEX(tblLedger[Status],1):tblLedger[[#This Row],[Status]],"&lt;&gt;Matched"))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97D9B-2906-4254-A3AC-2CC8A3D908FA}" name="tblRules" displayName="tblRules" ref="B5:E11" totalsRowShown="0" headerRowDxfId="44">
  <autoFilter ref="B5:E11" xr:uid="{7E797D9B-2906-4254-A3AC-2CC8A3D908FA}"/>
  <tableColumns count="4">
    <tableColumn id="1" xr3:uid="{8C1D4851-696F-41D3-9DB5-9242967AEF24}" name="Keyword" dataDxfId="48"/>
    <tableColumn id="2" xr3:uid="{916D42BD-42BA-48EE-8773-2D1B6C46CFE8}" name="Category" dataDxfId="47"/>
    <tableColumn id="3" xr3:uid="{C27AF003-B8A1-45BA-A25C-399F5121BCDE}" name="Action" dataDxfId="46"/>
    <tableColumn id="4" xr3:uid="{2F7918BE-FE68-4C3D-A200-8E0CDFA9C800}" name="Account" dataDxfId="4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D213-C810-4F15-82D7-86DCBD8A2173}">
  <dimension ref="B2:C13"/>
  <sheetViews>
    <sheetView showGridLines="0" tabSelected="1" workbookViewId="0"/>
  </sheetViews>
  <sheetFormatPr baseColWidth="10" defaultRowHeight="13.2" x14ac:dyDescent="0.25"/>
  <cols>
    <col min="1" max="1" width="2.77734375" customWidth="1"/>
    <col min="2" max="2" width="16.77734375" customWidth="1"/>
    <col min="3" max="3" width="120.77734375" customWidth="1"/>
  </cols>
  <sheetData>
    <row r="2" spans="2:3" ht="24.6" x14ac:dyDescent="0.4">
      <c r="B2" s="27" t="s">
        <v>1249</v>
      </c>
    </row>
    <row r="3" spans="2:3" x14ac:dyDescent="0.25">
      <c r="B3" s="2" t="s">
        <v>1250</v>
      </c>
    </row>
    <row r="5" spans="2:3" x14ac:dyDescent="0.25">
      <c r="B5" s="13" t="s">
        <v>1251</v>
      </c>
      <c r="C5" t="s">
        <v>1252</v>
      </c>
    </row>
    <row r="6" spans="2:3" x14ac:dyDescent="0.25">
      <c r="B6" s="13" t="s">
        <v>1253</v>
      </c>
      <c r="C6" t="s">
        <v>1254</v>
      </c>
    </row>
    <row r="7" spans="2:3" x14ac:dyDescent="0.25">
      <c r="B7" s="13"/>
      <c r="C7" t="s">
        <v>1255</v>
      </c>
    </row>
    <row r="8" spans="2:3" x14ac:dyDescent="0.25">
      <c r="B8" s="13"/>
      <c r="C8" t="s">
        <v>1256</v>
      </c>
    </row>
    <row r="9" spans="2:3" x14ac:dyDescent="0.25">
      <c r="B9" s="13" t="s">
        <v>1257</v>
      </c>
      <c r="C9" t="s">
        <v>1258</v>
      </c>
    </row>
    <row r="10" spans="2:3" x14ac:dyDescent="0.25">
      <c r="B10" s="13"/>
      <c r="C10" t="s">
        <v>1259</v>
      </c>
    </row>
    <row r="11" spans="2:3" x14ac:dyDescent="0.25">
      <c r="B11" s="13"/>
      <c r="C11" t="s">
        <v>1260</v>
      </c>
    </row>
    <row r="12" spans="2:3" x14ac:dyDescent="0.25">
      <c r="B12" s="13" t="s">
        <v>1261</v>
      </c>
      <c r="C12" t="s">
        <v>1262</v>
      </c>
    </row>
    <row r="13" spans="2:3" x14ac:dyDescent="0.25">
      <c r="B13" s="13" t="s">
        <v>1263</v>
      </c>
      <c r="C13" t="s">
        <v>1264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CF1E-4CFB-4815-B99A-C44E532AE136}">
  <dimension ref="B2:H24"/>
  <sheetViews>
    <sheetView showGridLines="0" workbookViewId="0"/>
  </sheetViews>
  <sheetFormatPr baseColWidth="10" defaultRowHeight="13.2" x14ac:dyDescent="0.25"/>
  <cols>
    <col min="1" max="1" width="2.77734375" customWidth="1"/>
    <col min="2" max="2" width="30.77734375" customWidth="1"/>
    <col min="3" max="8" width="16.77734375" customWidth="1"/>
  </cols>
  <sheetData>
    <row r="2" spans="2:8" ht="22.8" x14ac:dyDescent="0.4">
      <c r="B2" s="12" t="s">
        <v>1233</v>
      </c>
    </row>
    <row r="3" spans="2:8" x14ac:dyDescent="0.25">
      <c r="B3" s="2" t="s">
        <v>1234</v>
      </c>
    </row>
    <row r="5" spans="2:8" x14ac:dyDescent="0.25">
      <c r="B5" s="2" t="s">
        <v>1235</v>
      </c>
      <c r="D5" s="2" t="s">
        <v>1236</v>
      </c>
      <c r="F5" s="2" t="s">
        <v>1237</v>
      </c>
      <c r="H5" s="2" t="s">
        <v>1238</v>
      </c>
    </row>
    <row r="6" spans="2:8" ht="24.6" x14ac:dyDescent="0.4">
      <c r="B6" s="24">
        <f>ROWS(tblBank[BankId])</f>
        <v>229</v>
      </c>
      <c r="D6" s="25">
        <f>COUNTIFS(tblBank[Status],"Matched")/ROWS(tblBank[BankId])</f>
        <v>0.96943231441048039</v>
      </c>
      <c r="F6" s="24">
        <f>COUNTIFS(tblBank[Status],"&lt;&gt;Matched")+COUNTIFS(tblLedger[Status],"&lt;&gt;Matched")</f>
        <v>16</v>
      </c>
      <c r="H6" s="26" t="str">
        <f>Reconciliation!D18</f>
        <v>✓ Reconciled</v>
      </c>
    </row>
    <row r="9" spans="2:8" x14ac:dyDescent="0.25">
      <c r="B9" s="13" t="s">
        <v>1239</v>
      </c>
    </row>
    <row r="10" spans="2:8" x14ac:dyDescent="0.25">
      <c r="B10" s="14" t="s">
        <v>1238</v>
      </c>
      <c r="C10" s="14" t="s">
        <v>1240</v>
      </c>
    </row>
    <row r="11" spans="2:8" x14ac:dyDescent="0.25">
      <c r="B11" t="s">
        <v>1241</v>
      </c>
      <c r="C11">
        <f>COUNTIFS(tblBank[MatchRule],"Reference",tblBank[Status],"Matched")</f>
        <v>207</v>
      </c>
    </row>
    <row r="12" spans="2:8" x14ac:dyDescent="0.25">
      <c r="B12" t="s">
        <v>1242</v>
      </c>
      <c r="C12">
        <f>COUNTIFS(tblBank[MatchRule],"Amount and date",tblBank[Status],"Matched")</f>
        <v>15</v>
      </c>
    </row>
    <row r="13" spans="2:8" x14ac:dyDescent="0.25">
      <c r="B13" t="s">
        <v>1243</v>
      </c>
      <c r="C13">
        <f>COUNTIFS(tblBank[Status],"Amount difference")</f>
        <v>1</v>
      </c>
    </row>
    <row r="14" spans="2:8" x14ac:dyDescent="0.25">
      <c r="B14" t="s">
        <v>1244</v>
      </c>
      <c r="C14">
        <f>COUNTIFS(tblBank[Status],"Not in books")</f>
        <v>6</v>
      </c>
    </row>
    <row r="17" spans="2:4" x14ac:dyDescent="0.25">
      <c r="B17" s="13" t="s">
        <v>1245</v>
      </c>
    </row>
    <row r="18" spans="2:4" x14ac:dyDescent="0.25">
      <c r="B18" s="14" t="s">
        <v>20</v>
      </c>
      <c r="C18" s="14" t="s">
        <v>1211</v>
      </c>
      <c r="D18" s="14" t="s">
        <v>1210</v>
      </c>
    </row>
    <row r="19" spans="2:4" x14ac:dyDescent="0.25">
      <c r="B19" t="s">
        <v>1246</v>
      </c>
      <c r="C19">
        <f>COUNTIFS(tblLedger[Status],B19)+COUNTIFS(tblBank[Category],B19)</f>
        <v>2</v>
      </c>
      <c r="D19" s="11">
        <f>IF(B19="Amount difference",SUMIFS(tblBank[Difference],tblBank[Status],"Amount difference"),SUMIFS(tblLedger[Amount],tblLedger[Status],B19)+SUMIFS(tblBank[Amount],tblBank[Category],B19))</f>
        <v>1273.93</v>
      </c>
    </row>
    <row r="20" spans="2:4" x14ac:dyDescent="0.25">
      <c r="B20" t="s">
        <v>1247</v>
      </c>
      <c r="C20">
        <f>COUNTIFS(tblLedger[Status],B20)+COUNTIFS(tblBank[Category],B20)</f>
        <v>7</v>
      </c>
      <c r="D20" s="11">
        <f>IF(B20="Amount difference",SUMIFS(tblBank[Difference],tblBank[Status],"Amount difference"),SUMIFS(tblLedger[Amount],tblLedger[Status],B20)+SUMIFS(tblBank[Amount],tblBank[Category],B20))</f>
        <v>-4563.9800000000005</v>
      </c>
    </row>
    <row r="21" spans="2:4" x14ac:dyDescent="0.25">
      <c r="B21" t="s">
        <v>24</v>
      </c>
      <c r="C21">
        <f>COUNTIFS(tblLedger[Status],B21)+COUNTIFS(tblBank[Category],B21)</f>
        <v>4</v>
      </c>
      <c r="D21" s="11">
        <f>IF(B21="Amount difference",SUMIFS(tblBank[Difference],tblBank[Status],"Amount difference"),SUMIFS(tblLedger[Amount],tblLedger[Status],B21)+SUMIFS(tblBank[Amount],tblBank[Category],B21))</f>
        <v>-180.9</v>
      </c>
    </row>
    <row r="22" spans="2:4" x14ac:dyDescent="0.25">
      <c r="B22" t="s">
        <v>33</v>
      </c>
      <c r="C22">
        <f>COUNTIFS(tblLedger[Status],B22)+COUNTIFS(tblBank[Category],B22)</f>
        <v>1</v>
      </c>
      <c r="D22" s="11">
        <f>IF(B22="Amount difference",SUMIFS(tblBank[Difference],tblBank[Status],"Amount difference"),SUMIFS(tblLedger[Amount],tblLedger[Status],B22)+SUMIFS(tblBank[Amount],tblBank[Category],B22))</f>
        <v>-1284</v>
      </c>
    </row>
    <row r="23" spans="2:4" x14ac:dyDescent="0.25">
      <c r="B23" t="s">
        <v>37</v>
      </c>
      <c r="C23">
        <f>COUNTIFS(tblLedger[Status],B23)+COUNTIFS(tblBank[Category],B23)</f>
        <v>1</v>
      </c>
      <c r="D23" s="11">
        <f>IF(B23="Amount difference",SUMIFS(tblBank[Difference],tblBank[Status],"Amount difference"),SUMIFS(tblLedger[Amount],tblLedger[Status],B23)+SUMIFS(tblBank[Amount],tblBank[Category],B23))</f>
        <v>3600</v>
      </c>
    </row>
    <row r="24" spans="2:4" x14ac:dyDescent="0.25">
      <c r="B24" t="s">
        <v>1248</v>
      </c>
      <c r="C24">
        <f>COUNTIFS(tblLedger[Status],B24)+COUNTIFS(tblBank[Category],B24)</f>
        <v>1</v>
      </c>
      <c r="D24" s="11">
        <f>IF(B24="Amount difference",SUMIFS(tblBank[Difference],tblBank[Status],"Amount difference"),SUMIFS(tblLedger[Amount],tblLedger[Status],B24)+SUMIFS(tblBank[Amount],tblBank[Category],B24))</f>
        <v>-810</v>
      </c>
    </row>
  </sheetData>
  <conditionalFormatting sqref="H6">
    <cfRule type="cellIs" dxfId="25" priority="1" stopIfTrue="1" operator="equal">
      <formula>"✓ Reconciled"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2B7D-C674-4D36-A85C-EB1A20ECD5B1}">
  <dimension ref="B2:D23"/>
  <sheetViews>
    <sheetView showGridLines="0" workbookViewId="0"/>
  </sheetViews>
  <sheetFormatPr baseColWidth="10" defaultRowHeight="13.2" x14ac:dyDescent="0.25"/>
  <cols>
    <col min="1" max="1" width="2.77734375" customWidth="1"/>
    <col min="2" max="2" width="62.77734375" customWidth="1"/>
    <col min="3" max="3" width="16.77734375" customWidth="1"/>
    <col min="4" max="4" width="22.77734375" customWidth="1"/>
  </cols>
  <sheetData>
    <row r="2" spans="2:4" ht="22.8" x14ac:dyDescent="0.4">
      <c r="B2" s="12" t="s">
        <v>1209</v>
      </c>
    </row>
    <row r="3" spans="2:4" x14ac:dyDescent="0.25">
      <c r="B3" s="2" t="str">
        <f>"Lumen Supplies SAS  ·  Bank account 512000  ·  Period ended "&amp;TEXT(DAY(PeriodEnd),"00")&amp;"/"&amp;TEXT(MONTH(PeriodEnd),"00")&amp;"/"&amp;YEAR(PeriodEnd)</f>
        <v>Lumen Supplies SAS  ·  Bank account 512000  ·  Period ended 31/12/2025</v>
      </c>
    </row>
    <row r="5" spans="2:4" x14ac:dyDescent="0.25">
      <c r="B5" s="14"/>
      <c r="C5" s="14" t="s">
        <v>1210</v>
      </c>
      <c r="D5" s="14" t="s">
        <v>1211</v>
      </c>
    </row>
    <row r="6" spans="2:4" x14ac:dyDescent="0.25">
      <c r="B6" s="13" t="s">
        <v>1212</v>
      </c>
      <c r="D6" s="18"/>
    </row>
    <row r="7" spans="2:4" x14ac:dyDescent="0.25">
      <c r="B7" t="s">
        <v>1213</v>
      </c>
      <c r="C7" s="11">
        <f>StatementClosing</f>
        <v>406502.7</v>
      </c>
      <c r="D7" s="18"/>
    </row>
    <row r="8" spans="2:4" x14ac:dyDescent="0.25">
      <c r="B8" t="s">
        <v>1214</v>
      </c>
      <c r="C8" s="11">
        <f>SUMIFS(tblLedger[Amount],tblLedger[Status],"Deposit in transit")</f>
        <v>1273.93</v>
      </c>
      <c r="D8" s="19">
        <f>COUNTIFS(tblLedger[Status],"Deposit in transit")</f>
        <v>2</v>
      </c>
    </row>
    <row r="9" spans="2:4" x14ac:dyDescent="0.25">
      <c r="B9" t="s">
        <v>1215</v>
      </c>
      <c r="C9" s="11">
        <f>SUMIFS(tblLedger[Amount],tblLedger[Status],"Outstanding payment")</f>
        <v>-4563.9800000000005</v>
      </c>
      <c r="D9" s="19">
        <f>COUNTIFS(tblLedger[Status],"Outstanding payment")</f>
        <v>7</v>
      </c>
    </row>
    <row r="10" spans="2:4" x14ac:dyDescent="0.25">
      <c r="B10" s="15" t="s">
        <v>1216</v>
      </c>
      <c r="C10" s="16">
        <f>SUM(C7:C9)</f>
        <v>403212.65</v>
      </c>
      <c r="D10" s="20"/>
    </row>
    <row r="11" spans="2:4" x14ac:dyDescent="0.25">
      <c r="D11" s="18"/>
    </row>
    <row r="12" spans="2:4" x14ac:dyDescent="0.25">
      <c r="B12" s="13" t="s">
        <v>1217</v>
      </c>
      <c r="D12" s="18"/>
    </row>
    <row r="13" spans="2:4" x14ac:dyDescent="0.25">
      <c r="B13" t="s">
        <v>1218</v>
      </c>
      <c r="C13" s="11">
        <f>OpeningBooks+SUM(tblLedger[Amount])</f>
        <v>401887.5500000001</v>
      </c>
      <c r="D13" s="18"/>
    </row>
    <row r="14" spans="2:4" x14ac:dyDescent="0.25">
      <c r="B14" t="s">
        <v>1219</v>
      </c>
      <c r="C14" s="11">
        <f>SUMIFS(tblBank[Amount],tblBank[Status],"Not in books")</f>
        <v>2135.1</v>
      </c>
      <c r="D14" s="19">
        <f>COUNTIFS(tblBank[Status],"Not in books")</f>
        <v>6</v>
      </c>
    </row>
    <row r="15" spans="2:4" x14ac:dyDescent="0.25">
      <c r="B15" t="s">
        <v>1220</v>
      </c>
      <c r="C15" s="11">
        <f>SUMIFS(tblBank[Difference],tblBank[Status],"Amount difference")</f>
        <v>-810</v>
      </c>
      <c r="D15" s="19">
        <f>COUNTIFS(tblBank[Status],"Amount difference")</f>
        <v>1</v>
      </c>
    </row>
    <row r="16" spans="2:4" x14ac:dyDescent="0.25">
      <c r="B16" s="15" t="s">
        <v>1221</v>
      </c>
      <c r="C16" s="16">
        <f>SUM(C13:C15)</f>
        <v>403212.65000000008</v>
      </c>
      <c r="D16" s="20"/>
    </row>
    <row r="17" spans="2:4" x14ac:dyDescent="0.25">
      <c r="D17" s="18"/>
    </row>
    <row r="18" spans="2:4" x14ac:dyDescent="0.25">
      <c r="B18" s="15" t="s">
        <v>1222</v>
      </c>
      <c r="C18" s="16">
        <f>ROUND(C10-C16,2)</f>
        <v>0</v>
      </c>
      <c r="D18" s="21" t="str">
        <f>IF(C18=0,"✓ Reconciled","✗ Not reconciled")</f>
        <v>✓ Reconciled</v>
      </c>
    </row>
    <row r="19" spans="2:4" x14ac:dyDescent="0.25">
      <c r="D19" s="18"/>
    </row>
    <row r="20" spans="2:4" x14ac:dyDescent="0.25">
      <c r="B20" s="14" t="s">
        <v>1223</v>
      </c>
      <c r="C20" s="17"/>
      <c r="D20" s="22"/>
    </row>
    <row r="21" spans="2:4" x14ac:dyDescent="0.25">
      <c r="B21" t="s">
        <v>1224</v>
      </c>
      <c r="C21" s="11">
        <f>ROUND(OpeningBank+SUM(tblBank[Amount])-StatementClosing,2)</f>
        <v>0</v>
      </c>
      <c r="D21" s="18" t="str">
        <f>IF(C21=0,"✓ Import complete","✗ Check")</f>
        <v>✓ Import complete</v>
      </c>
    </row>
    <row r="22" spans="2:4" x14ac:dyDescent="0.25">
      <c r="B22" t="s">
        <v>1225</v>
      </c>
      <c r="C22" s="11">
        <f>ROUND(OpeningBank-OpeningBooks,2)</f>
        <v>0</v>
      </c>
      <c r="D22" s="18" t="str">
        <f>IF(C22=0,"✓ Opening agreed","✗ Check")</f>
        <v>✓ Opening agreed</v>
      </c>
    </row>
    <row r="23" spans="2:4" x14ac:dyDescent="0.25">
      <c r="B23" t="s">
        <v>1226</v>
      </c>
      <c r="C23" s="11">
        <f>SUMPRODUCT((tblBank[MatchedEntry]&lt;&gt;"")*(COUNTIF(tblBank[MatchedEntry],tblBank[MatchedEntry])&gt;1))</f>
        <v>0</v>
      </c>
      <c r="D23" s="18" t="str">
        <f>IF(C23=0,"✓ No double match","✗ Check")</f>
        <v>✓ No double match</v>
      </c>
    </row>
  </sheetData>
  <conditionalFormatting sqref="D18">
    <cfRule type="cellIs" dxfId="33" priority="1" stopIfTrue="1" operator="equal">
      <formula>"✓ Reconciled"</formula>
    </cfRule>
    <cfRule type="cellIs" dxfId="32" priority="2" stopIfTrue="1" operator="equal">
      <formula>"✗ Not reconciled"</formula>
    </cfRule>
  </conditionalFormatting>
  <conditionalFormatting sqref="D21">
    <cfRule type="cellIs" dxfId="31" priority="3" stopIfTrue="1" operator="equal">
      <formula>"✓ Import complete"</formula>
    </cfRule>
    <cfRule type="cellIs" dxfId="30" priority="4" stopIfTrue="1" operator="equal">
      <formula>"✗ Check"</formula>
    </cfRule>
  </conditionalFormatting>
  <conditionalFormatting sqref="D22">
    <cfRule type="cellIs" dxfId="29" priority="5" stopIfTrue="1" operator="equal">
      <formula>"✓ Opening agreed"</formula>
    </cfRule>
    <cfRule type="cellIs" dxfId="28" priority="6" stopIfTrue="1" operator="equal">
      <formula>"✗ Check"</formula>
    </cfRule>
  </conditionalFormatting>
  <conditionalFormatting sqref="D23">
    <cfRule type="cellIs" dxfId="27" priority="7" stopIfTrue="1" operator="equal">
      <formula>"✓ No double match"</formula>
    </cfRule>
    <cfRule type="cellIs" dxfId="26" priority="8" stopIfTrue="1" operator="equal">
      <formula>"✗ Check"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52F2-A8FE-4CD4-88CC-1B86EC929E96}">
  <dimension ref="A1:K44"/>
  <sheetViews>
    <sheetView showGridLines="0" workbookViewId="0"/>
  </sheetViews>
  <sheetFormatPr baseColWidth="10" defaultRowHeight="13.2" x14ac:dyDescent="0.25"/>
  <cols>
    <col min="1" max="1" width="5.77734375" customWidth="1"/>
    <col min="2" max="2" width="19.77734375" customWidth="1"/>
    <col min="3" max="3" width="12.77734375" customWidth="1"/>
    <col min="4" max="4" width="58.77734375" customWidth="1"/>
    <col min="5" max="5" width="14.77734375" customWidth="1"/>
    <col min="6" max="6" width="24.77734375" customWidth="1"/>
    <col min="7" max="7" width="66.77734375" customWidth="1"/>
  </cols>
  <sheetData>
    <row r="1" spans="1:11" ht="21" x14ac:dyDescent="0.4">
      <c r="A1" s="1" t="s">
        <v>1227</v>
      </c>
    </row>
    <row r="2" spans="1:11" x14ac:dyDescent="0.25">
      <c r="A2" s="2" t="s">
        <v>1228</v>
      </c>
      <c r="I2" s="2" t="s">
        <v>1211</v>
      </c>
      <c r="J2" s="2">
        <f>COUNTIF(tblBank[Status],"&lt;&gt;Matched")+COUNTIF(tblLedger[Status],"&lt;&gt;Matched")</f>
        <v>16</v>
      </c>
      <c r="K2" s="2" t="str">
        <f>IF(J2&lt;=J3,"","✗ Extend the list")</f>
        <v/>
      </c>
    </row>
    <row r="3" spans="1:11" x14ac:dyDescent="0.25">
      <c r="I3" s="2" t="s">
        <v>1229</v>
      </c>
      <c r="J3" s="2">
        <v>40</v>
      </c>
      <c r="K3" s="2"/>
    </row>
    <row r="4" spans="1:11" x14ac:dyDescent="0.25">
      <c r="A4" s="23" t="s">
        <v>1230</v>
      </c>
      <c r="B4" s="23" t="s">
        <v>1231</v>
      </c>
      <c r="C4" s="23" t="s">
        <v>44</v>
      </c>
      <c r="D4" s="23" t="s">
        <v>46</v>
      </c>
      <c r="E4" s="23" t="s">
        <v>1210</v>
      </c>
      <c r="F4" s="23" t="s">
        <v>20</v>
      </c>
      <c r="G4" s="23" t="s">
        <v>1232</v>
      </c>
    </row>
    <row r="5" spans="1:11" x14ac:dyDescent="0.25">
      <c r="A5" s="18">
        <f>IF(ROW()-4&lt;=$J$2,ROW()-4,"")</f>
        <v>1</v>
      </c>
      <c r="B5" t="str">
        <f>IF($A5="","",IFERROR("Bank "&amp;INDEX(tblBank[BankId],MATCH($A5,tblBank[ItemNo],0)),"Books "&amp;INDEX(tblLedger[Entry],MATCH($A5,tblLedger[ItemNo],0))))</f>
        <v>Bank B028</v>
      </c>
      <c r="C5" s="6">
        <f>IF($A5="","",IFERROR(INDEX(tblBank[Date],MATCH($A5,tblBank[ItemNo],0)),INDEX(tblLedger[Date],MATCH($A5,tblLedger[ItemNo],0))))</f>
        <v>45994</v>
      </c>
      <c r="D5" t="str">
        <f>IF($A5="","",IFERROR(INDEX(tblBank[Label],MATCH($A5,tblBank[ItemNo],0)),INDEX(tblLedger[Description],MATCH($A5,tblLedger[ItemNo],0))))</f>
        <v>VIR SEPA EMIS /A S027 /REF PMT-S027-69720</v>
      </c>
      <c r="E5" s="11">
        <f>IF($A5="","",IFERROR(INDEX(tblBank[Amount],MATCH($A5,tblBank[ItemNo],0)),INDEX(tblLedger[Amount],MATCH($A5,tblLedger[ItemNo],0))))</f>
        <v>-2908.79</v>
      </c>
      <c r="F5" t="str">
        <f>IF($A5="","",IFERROR(INDEX(tblBank[Category],MATCH($A5,tblBank[ItemNo],0)),INDEX(tblLedger[Status],MATCH($A5,tblLedger[ItemNo],0))))</f>
        <v>Amount difference</v>
      </c>
      <c r="G5" t="str">
        <f>IF($A5="","",IFERROR(INDEX(tblBank[Action],MATCH($A5,tblBank[ItemNo],0)),INDEX(tblLedger[Action],MATCH($A5,tblLedger[ItemNo],0))))</f>
        <v>Check the invoice: the bank and the ledger show different amounts</v>
      </c>
    </row>
    <row r="6" spans="1:11" x14ac:dyDescent="0.25">
      <c r="A6" s="18">
        <f>IF(ROW()-4&lt;=$J$2,ROW()-4,"")</f>
        <v>2</v>
      </c>
      <c r="B6" t="str">
        <f>IF($A6="","",IFERROR("Bank "&amp;INDEX(tblBank[BankId],MATCH($A6,tblBank[ItemNo],0)),"Books "&amp;INDEX(tblLedger[Entry],MATCH($A6,tblLedger[ItemNo],0))))</f>
        <v>Bank B078</v>
      </c>
      <c r="C6" s="6">
        <f>IF($A6="","",IFERROR(INDEX(tblBank[Date],MATCH($A6,tblBank[ItemNo],0)),INDEX(tblLedger[Date],MATCH($A6,tblLedger[ItemNo],0))))</f>
        <v>46001</v>
      </c>
      <c r="D6" t="str">
        <f>IF($A6="","",IFERROR(INDEX(tblBank[Label],MATCH($A6,tblBank[ItemNo],0)),INDEX(tblLedger[Description],MATCH($A6,tblLedger[ItemNo],0))))</f>
        <v>PRLV SEPA ASSURANCE MULTIRISQUE PRO /CONTRAT 2026-ANNUEL</v>
      </c>
      <c r="E6" s="11">
        <f>IF($A6="","",IFERROR(INDEX(tblBank[Amount],MATCH($A6,tblBank[ItemNo],0)),INDEX(tblLedger[Amount],MATCH($A6,tblLedger[ItemNo],0))))</f>
        <v>-1284</v>
      </c>
      <c r="F6" t="str">
        <f>IF($A6="","",IFERROR(INDEX(tblBank[Category],MATCH($A6,tblBank[ItemNo],0)),INDEX(tblLedger[Status],MATCH($A6,tblLedger[ItemNo],0))))</f>
        <v>Direct debit not booked</v>
      </c>
      <c r="G6" t="str">
        <f>IF($A6="","",IFERROR(INDEX(tblBank[Action],MATCH($A6,tblBank[ItemNo],0)),INDEX(tblLedger[Action],MATCH($A6,tblLedger[ItemNo],0))))</f>
        <v>Find the supplier invoice and book the direct debit</v>
      </c>
    </row>
    <row r="7" spans="1:11" x14ac:dyDescent="0.25">
      <c r="A7" s="18">
        <f>IF(ROW()-4&lt;=$J$2,ROW()-4,"")</f>
        <v>3</v>
      </c>
      <c r="B7" t="str">
        <f>IF($A7="","",IFERROR("Bank "&amp;INDEX(tblBank[BankId],MATCH($A7,tblBank[ItemNo],0)),"Books "&amp;INDEX(tblLedger[Entry],MATCH($A7,tblLedger[ItemNo],0))))</f>
        <v>Bank B124</v>
      </c>
      <c r="C7" s="6">
        <f>IF($A7="","",IFERROR(INDEX(tblBank[Date],MATCH($A7,tblBank[ItemNo],0)),INDEX(tblLedger[Date],MATCH($A7,tblLedger[ItemNo],0))))</f>
        <v>46007</v>
      </c>
      <c r="D7" t="str">
        <f>IF($A7="","",IFERROR(INDEX(tblBank[Label],MATCH($A7,tblBank[ItemNo],0)),INDEX(tblLedger[Description],MATCH($A7,tblLedger[ItemNo],0))))</f>
        <v>COMMISSION D INTERVENTION</v>
      </c>
      <c r="E7" s="11">
        <f>IF($A7="","",IFERROR(INDEX(tblBank[Amount],MATCH($A7,tblBank[ItemNo],0)),INDEX(tblLedger[Amount],MATCH($A7,tblLedger[ItemNo],0))))</f>
        <v>-8</v>
      </c>
      <c r="F7" t="str">
        <f>IF($A7="","",IFERROR(INDEX(tblBank[Category],MATCH($A7,tblBank[ItemNo],0)),INDEX(tblLedger[Status],MATCH($A7,tblLedger[ItemNo],0))))</f>
        <v>Bank charges</v>
      </c>
      <c r="G7" t="str">
        <f>IF($A7="","",IFERROR(INDEX(tblBank[Action],MATCH($A7,tblBank[ItemNo],0)),INDEX(tblLedger[Action],MATCH($A7,tblLedger[ItemNo],0))))</f>
        <v>Book the bank charges</v>
      </c>
    </row>
    <row r="8" spans="1:11" x14ac:dyDescent="0.25">
      <c r="A8" s="18">
        <f>IF(ROW()-4&lt;=$J$2,ROW()-4,"")</f>
        <v>4</v>
      </c>
      <c r="B8" t="str">
        <f>IF($A8="","",IFERROR("Bank "&amp;INDEX(tblBank[BankId],MATCH($A8,tblBank[ItemNo],0)),"Books "&amp;INDEX(tblLedger[Entry],MATCH($A8,tblLedger[ItemNo],0))))</f>
        <v>Bank B140</v>
      </c>
      <c r="C8" s="6">
        <f>IF($A8="","",IFERROR(INDEX(tblBank[Date],MATCH($A8,tblBank[ItemNo],0)),INDEX(tblLedger[Date],MATCH($A8,tblLedger[ItemNo],0))))</f>
        <v>46009</v>
      </c>
      <c r="D8" t="str">
        <f>IF($A8="","",IFERROR(INDEX(tblBank[Label],MATCH($A8,tblBank[ItemNo],0)),INDEX(tblLedger[Description],MATCH($A8,tblLedger[ItemNo],0))))</f>
        <v>VIR SEPA RECU /DE C047 /MOTIF ACOMPTE COMMANDE JANVIER</v>
      </c>
      <c r="E8" s="11">
        <f>IF($A8="","",IFERROR(INDEX(tblBank[Amount],MATCH($A8,tblBank[ItemNo],0)),INDEX(tblLedger[Amount],MATCH($A8,tblLedger[ItemNo],0))))</f>
        <v>3600</v>
      </c>
      <c r="F8" t="str">
        <f>IF($A8="","",IFERROR(INDEX(tblBank[Category],MATCH($A8,tblBank[ItemNo],0)),INDEX(tblLedger[Status],MATCH($A8,tblLedger[ItemNo],0))))</f>
        <v>Unidentified receipt</v>
      </c>
      <c r="G8" t="str">
        <f>IF($A8="","",IFERROR(INDEX(tblBank[Action],MATCH($A8,tblBank[ItemNo],0)),INDEX(tblLedger[Action],MATCH($A8,tblLedger[ItemNo],0))))</f>
        <v>Identify the customer and allocate the receipt (suspense 471000 meanwhile)</v>
      </c>
    </row>
    <row r="9" spans="1:11" x14ac:dyDescent="0.25">
      <c r="A9" s="18">
        <f>IF(ROW()-4&lt;=$J$2,ROW()-4,"")</f>
        <v>5</v>
      </c>
      <c r="B9" t="str">
        <f>IF($A9="","",IFERROR("Bank "&amp;INDEX(tblBank[BankId],MATCH($A9,tblBank[ItemNo],0)),"Books "&amp;INDEX(tblLedger[Entry],MATCH($A9,tblLedger[ItemNo],0))))</f>
        <v>Bank B153</v>
      </c>
      <c r="C9" s="6">
        <f>IF($A9="","",IFERROR(INDEX(tblBank[Date],MATCH($A9,tblBank[ItemNo],0)),INDEX(tblLedger[Date],MATCH($A9,tblLedger[ItemNo],0))))</f>
        <v>46013</v>
      </c>
      <c r="D9" t="str">
        <f>IF($A9="","",IFERROR(INDEX(tblBank[Label],MATCH($A9,tblBank[ItemNo],0)),INDEX(tblLedger[Description],MATCH($A9,tblLedger[ItemNo],0))))</f>
        <v>COMMISSION D INTERVENTION</v>
      </c>
      <c r="E9" s="11">
        <f>IF($A9="","",IFERROR(INDEX(tblBank[Amount],MATCH($A9,tblBank[ItemNo],0)),INDEX(tblLedger[Amount],MATCH($A9,tblLedger[ItemNo],0))))</f>
        <v>-8</v>
      </c>
      <c r="F9" t="str">
        <f>IF($A9="","",IFERROR(INDEX(tblBank[Category],MATCH($A9,tblBank[ItemNo],0)),INDEX(tblLedger[Status],MATCH($A9,tblLedger[ItemNo],0))))</f>
        <v>Bank charges</v>
      </c>
      <c r="G9" t="str">
        <f>IF($A9="","",IFERROR(INDEX(tblBank[Action],MATCH($A9,tblBank[ItemNo],0)),INDEX(tblLedger[Action],MATCH($A9,tblLedger[ItemNo],0))))</f>
        <v>Book the bank charges</v>
      </c>
    </row>
    <row r="10" spans="1:11" x14ac:dyDescent="0.25">
      <c r="A10" s="18">
        <f>IF(ROW()-4&lt;=$J$2,ROW()-4,"")</f>
        <v>6</v>
      </c>
      <c r="B10" t="str">
        <f>IF($A10="","",IFERROR("Bank "&amp;INDEX(tblBank[BankId],MATCH($A10,tblBank[ItemNo],0)),"Books "&amp;INDEX(tblLedger[Entry],MATCH($A10,tblLedger[ItemNo],0))))</f>
        <v>Bank B223</v>
      </c>
      <c r="C10" s="6">
        <f>IF($A10="","",IFERROR(INDEX(tblBank[Date],MATCH($A10,tblBank[ItemNo],0)),INDEX(tblLedger[Date],MATCH($A10,tblLedger[ItemNo],0))))</f>
        <v>46022</v>
      </c>
      <c r="D10" t="str">
        <f>IF($A10="","",IFERROR(INDEX(tblBank[Label],MATCH($A10,tblBank[ItemNo],0)),INDEX(tblLedger[Description],MATCH($A10,tblLedger[ItemNo],0))))</f>
        <v>COMMISSIONS CARTES BANCAIRES DECEMBRE</v>
      </c>
      <c r="E10" s="11">
        <f>IF($A10="","",IFERROR(INDEX(tblBank[Amount],MATCH($A10,tblBank[ItemNo],0)),INDEX(tblLedger[Amount],MATCH($A10,tblLedger[ItemNo],0))))</f>
        <v>-126.4</v>
      </c>
      <c r="F10" t="str">
        <f>IF($A10="","",IFERROR(INDEX(tblBank[Category],MATCH($A10,tblBank[ItemNo],0)),INDEX(tblLedger[Status],MATCH($A10,tblLedger[ItemNo],0))))</f>
        <v>Bank charges</v>
      </c>
      <c r="G10" t="str">
        <f>IF($A10="","",IFERROR(INDEX(tblBank[Action],MATCH($A10,tblBank[ItemNo],0)),INDEX(tblLedger[Action],MATCH($A10,tblLedger[ItemNo],0))))</f>
        <v>Book the bank charges</v>
      </c>
    </row>
    <row r="11" spans="1:11" x14ac:dyDescent="0.25">
      <c r="A11" s="18">
        <f>IF(ROW()-4&lt;=$J$2,ROW()-4,"")</f>
        <v>7</v>
      </c>
      <c r="B11" t="str">
        <f>IF($A11="","",IFERROR("Bank "&amp;INDEX(tblBank[BankId],MATCH($A11,tblBank[ItemNo],0)),"Books "&amp;INDEX(tblLedger[Entry],MATCH($A11,tblLedger[ItemNo],0))))</f>
        <v>Bank B224</v>
      </c>
      <c r="C11" s="6">
        <f>IF($A11="","",IFERROR(INDEX(tblBank[Date],MATCH($A11,tblBank[ItemNo],0)),INDEX(tblLedger[Date],MATCH($A11,tblLedger[ItemNo],0))))</f>
        <v>46022</v>
      </c>
      <c r="D11" t="str">
        <f>IF($A11="","",IFERROR(INDEX(tblBank[Label],MATCH($A11,tblBank[ItemNo],0)),INDEX(tblLedger[Description],MATCH($A11,tblLedger[ItemNo],0))))</f>
        <v>FRAIS TENUE DE COMPTE DECEMBRE</v>
      </c>
      <c r="E11" s="11">
        <f>IF($A11="","",IFERROR(INDEX(tblBank[Amount],MATCH($A11,tblBank[ItemNo],0)),INDEX(tblLedger[Amount],MATCH($A11,tblLedger[ItemNo],0))))</f>
        <v>-38.5</v>
      </c>
      <c r="F11" t="str">
        <f>IF($A11="","",IFERROR(INDEX(tblBank[Category],MATCH($A11,tblBank[ItemNo],0)),INDEX(tblLedger[Status],MATCH($A11,tblLedger[ItemNo],0))))</f>
        <v>Bank charges</v>
      </c>
      <c r="G11" t="str">
        <f>IF($A11="","",IFERROR(INDEX(tblBank[Action],MATCH($A11,tblBank[ItemNo],0)),INDEX(tblLedger[Action],MATCH($A11,tblLedger[ItemNo],0))))</f>
        <v>Book the bank charges</v>
      </c>
    </row>
    <row r="12" spans="1:11" x14ac:dyDescent="0.25">
      <c r="A12" s="18">
        <f>IF(ROW()-4&lt;=$J$2,ROW()-4,"")</f>
        <v>8</v>
      </c>
      <c r="B12" t="str">
        <f>IF($A12="","",IFERROR("Bank "&amp;INDEX(tblBank[BankId],MATCH($A12,tblBank[ItemNo],0)),"Books "&amp;INDEX(tblLedger[Entry],MATCH($A12,tblLedger[ItemNo],0))))</f>
        <v>Books BNK25-01998</v>
      </c>
      <c r="C12" s="6">
        <f>IF($A12="","",IFERROR(INDEX(tblBank[Date],MATCH($A12,tblBank[ItemNo],0)),INDEX(tblLedger[Date],MATCH($A12,tblLedger[ItemNo],0))))</f>
        <v>46020</v>
      </c>
      <c r="D12" t="str">
        <f>IF($A12="","",IFERROR(INDEX(tblBank[Label],MATCH($A12,tblBank[ItemNo],0)),INDEX(tblLedger[Description],MATCH($A12,tblLedger[ItemNo],0))))</f>
        <v>Supplier payment S011 - S011-48398</v>
      </c>
      <c r="E12" s="11">
        <f>IF($A12="","",IFERROR(INDEX(tblBank[Amount],MATCH($A12,tblBank[ItemNo],0)),INDEX(tblLedger[Amount],MATCH($A12,tblLedger[ItemNo],0))))</f>
        <v>-912.36</v>
      </c>
      <c r="F12" t="str">
        <f>IF($A12="","",IFERROR(INDEX(tblBank[Category],MATCH($A12,tblBank[ItemNo],0)),INDEX(tblLedger[Status],MATCH($A12,tblLedger[ItemNo],0))))</f>
        <v>Outstanding payment</v>
      </c>
      <c r="G12" t="str">
        <f>IF($A12="","",IFERROR(INDEX(tblBank[Action],MATCH($A12,tblBank[ItemNo],0)),INDEX(tblLedger[Action],MATCH($A12,tblLedger[ItemNo],0))))</f>
        <v>Check it is debited on the January statement</v>
      </c>
    </row>
    <row r="13" spans="1:11" x14ac:dyDescent="0.25">
      <c r="A13" s="18">
        <f>IF(ROW()-4&lt;=$J$2,ROW()-4,"")</f>
        <v>9</v>
      </c>
      <c r="B13" t="str">
        <f>IF($A13="","",IFERROR("Bank "&amp;INDEX(tblBank[BankId],MATCH($A13,tblBank[ItemNo],0)),"Books "&amp;INDEX(tblLedger[Entry],MATCH($A13,tblLedger[ItemNo],0))))</f>
        <v>Books BNK25-02007</v>
      </c>
      <c r="C13" s="6">
        <f>IF($A13="","",IFERROR(INDEX(tblBank[Date],MATCH($A13,tblBank[ItemNo],0)),INDEX(tblLedger[Date],MATCH($A13,tblLedger[ItemNo],0))))</f>
        <v>46020</v>
      </c>
      <c r="D13" t="str">
        <f>IF($A13="","",IFERROR(INDEX(tblBank[Label],MATCH($A13,tblBank[ItemNo],0)),INDEX(tblLedger[Description],MATCH($A13,tblLedger[ItemNo],0))))</f>
        <v>Supplier payment S027 - S027-10730</v>
      </c>
      <c r="E13" s="11">
        <f>IF($A13="","",IFERROR(INDEX(tblBank[Amount],MATCH($A13,tblBank[ItemNo],0)),INDEX(tblLedger[Amount],MATCH($A13,tblLedger[ItemNo],0))))</f>
        <v>-1020.74</v>
      </c>
      <c r="F13" t="str">
        <f>IF($A13="","",IFERROR(INDEX(tblBank[Category],MATCH($A13,tblBank[ItemNo],0)),INDEX(tblLedger[Status],MATCH($A13,tblLedger[ItemNo],0))))</f>
        <v>Outstanding payment</v>
      </c>
      <c r="G13" t="str">
        <f>IF($A13="","",IFERROR(INDEX(tblBank[Action],MATCH($A13,tblBank[ItemNo],0)),INDEX(tblLedger[Action],MATCH($A13,tblLedger[ItemNo],0))))</f>
        <v>Check it is debited on the January statement</v>
      </c>
    </row>
    <row r="14" spans="1:11" x14ac:dyDescent="0.25">
      <c r="A14" s="18">
        <f>IF(ROW()-4&lt;=$J$2,ROW()-4,"")</f>
        <v>10</v>
      </c>
      <c r="B14" t="str">
        <f>IF($A14="","",IFERROR("Bank "&amp;INDEX(tblBank[BankId],MATCH($A14,tblBank[ItemNo],0)),"Books "&amp;INDEX(tblLedger[Entry],MATCH($A14,tblLedger[ItemNo],0))))</f>
        <v>Books BNK25-02010</v>
      </c>
      <c r="C14" s="6">
        <f>IF($A14="","",IFERROR(INDEX(tblBank[Date],MATCH($A14,tblBank[ItemNo],0)),INDEX(tblLedger[Date],MATCH($A14,tblLedger[ItemNo],0))))</f>
        <v>46020</v>
      </c>
      <c r="D14" t="str">
        <f>IF($A14="","",IFERROR(INDEX(tblBank[Label],MATCH($A14,tblBank[ItemNo],0)),INDEX(tblLedger[Description],MATCH($A14,tblLedger[ItemNo],0))))</f>
        <v>Supplier payment S010 - S010-44004</v>
      </c>
      <c r="E14" s="11">
        <f>IF($A14="","",IFERROR(INDEX(tblBank[Amount],MATCH($A14,tblBank[ItemNo],0)),INDEX(tblLedger[Amount],MATCH($A14,tblLedger[ItemNo],0))))</f>
        <v>-1608.4</v>
      </c>
      <c r="F14" t="str">
        <f>IF($A14="","",IFERROR(INDEX(tblBank[Category],MATCH($A14,tblBank[ItemNo],0)),INDEX(tblLedger[Status],MATCH($A14,tblLedger[ItemNo],0))))</f>
        <v>Outstanding payment</v>
      </c>
      <c r="G14" t="str">
        <f>IF($A14="","",IFERROR(INDEX(tblBank[Action],MATCH($A14,tblBank[ItemNo],0)),INDEX(tblLedger[Action],MATCH($A14,tblLedger[ItemNo],0))))</f>
        <v>Check it is debited on the January statement</v>
      </c>
    </row>
    <row r="15" spans="1:11" x14ac:dyDescent="0.25">
      <c r="A15" s="18">
        <f>IF(ROW()-4&lt;=$J$2,ROW()-4,"")</f>
        <v>11</v>
      </c>
      <c r="B15" t="str">
        <f>IF($A15="","",IFERROR("Bank "&amp;INDEX(tblBank[BankId],MATCH($A15,tblBank[ItemNo],0)),"Books "&amp;INDEX(tblLedger[Entry],MATCH($A15,tblLedger[ItemNo],0))))</f>
        <v>Books BNK25-02013</v>
      </c>
      <c r="C15" s="6">
        <f>IF($A15="","",IFERROR(INDEX(tblBank[Date],MATCH($A15,tblBank[ItemNo],0)),INDEX(tblLedger[Date],MATCH($A15,tblLedger[ItemNo],0))))</f>
        <v>46021</v>
      </c>
      <c r="D15" t="str">
        <f>IF($A15="","",IFERROR(INDEX(tblBank[Label],MATCH($A15,tblBank[ItemNo],0)),INDEX(tblLedger[Description],MATCH($A15,tblLedger[ItemNo],0))))</f>
        <v>Supplier payment S001 - S001-39615</v>
      </c>
      <c r="E15" s="11">
        <f>IF($A15="","",IFERROR(INDEX(tblBank[Amount],MATCH($A15,tblBank[ItemNo],0)),INDEX(tblLedger[Amount],MATCH($A15,tblLedger[ItemNo],0))))</f>
        <v>-261.8</v>
      </c>
      <c r="F15" t="str">
        <f>IF($A15="","",IFERROR(INDEX(tblBank[Category],MATCH($A15,tblBank[ItemNo],0)),INDEX(tblLedger[Status],MATCH($A15,tblLedger[ItemNo],0))))</f>
        <v>Outstanding payment</v>
      </c>
      <c r="G15" t="str">
        <f>IF($A15="","",IFERROR(INDEX(tblBank[Action],MATCH($A15,tblBank[ItemNo],0)),INDEX(tblLedger[Action],MATCH($A15,tblLedger[ItemNo],0))))</f>
        <v>Check it is debited on the January statement</v>
      </c>
    </row>
    <row r="16" spans="1:11" x14ac:dyDescent="0.25">
      <c r="A16" s="18">
        <f>IF(ROW()-4&lt;=$J$2,ROW()-4,"")</f>
        <v>12</v>
      </c>
      <c r="B16" t="str">
        <f>IF($A16="","",IFERROR("Bank "&amp;INDEX(tblBank[BankId],MATCH($A16,tblBank[ItemNo],0)),"Books "&amp;INDEX(tblLedger[Entry],MATCH($A16,tblLedger[ItemNo],0))))</f>
        <v>Books BNK25-02015</v>
      </c>
      <c r="C16" s="6">
        <f>IF($A16="","",IFERROR(INDEX(tblBank[Date],MATCH($A16,tblBank[ItemNo],0)),INDEX(tblLedger[Date],MATCH($A16,tblLedger[ItemNo],0))))</f>
        <v>46021</v>
      </c>
      <c r="D16" t="str">
        <f>IF($A16="","",IFERROR(INDEX(tblBank[Label],MATCH($A16,tblBank[ItemNo],0)),INDEX(tblLedger[Description],MATCH($A16,tblLedger[ItemNo],0))))</f>
        <v>Supplier payment S025 - S025-90614</v>
      </c>
      <c r="E16" s="11">
        <f>IF($A16="","",IFERROR(INDEX(tblBank[Amount],MATCH($A16,tblBank[ItemNo],0)),INDEX(tblLedger[Amount],MATCH($A16,tblLedger[ItemNo],0))))</f>
        <v>-503.65</v>
      </c>
      <c r="F16" t="str">
        <f>IF($A16="","",IFERROR(INDEX(tblBank[Category],MATCH($A16,tblBank[ItemNo],0)),INDEX(tblLedger[Status],MATCH($A16,tblLedger[ItemNo],0))))</f>
        <v>Outstanding payment</v>
      </c>
      <c r="G16" t="str">
        <f>IF($A16="","",IFERROR(INDEX(tblBank[Action],MATCH($A16,tblBank[ItemNo],0)),INDEX(tblLedger[Action],MATCH($A16,tblLedger[ItemNo],0))))</f>
        <v>Check it is debited on the January statement</v>
      </c>
    </row>
    <row r="17" spans="1:7" x14ac:dyDescent="0.25">
      <c r="A17" s="18">
        <f>IF(ROW()-4&lt;=$J$2,ROW()-4,"")</f>
        <v>13</v>
      </c>
      <c r="B17" t="str">
        <f>IF($A17="","",IFERROR("Bank "&amp;INDEX(tblBank[BankId],MATCH($A17,tblBank[ItemNo],0)),"Books "&amp;INDEX(tblLedger[Entry],MATCH($A17,tblLedger[ItemNo],0))))</f>
        <v>Books BNK25-02018</v>
      </c>
      <c r="C17" s="6">
        <f>IF($A17="","",IFERROR(INDEX(tblBank[Date],MATCH($A17,tblBank[ItemNo],0)),INDEX(tblLedger[Date],MATCH($A17,tblLedger[ItemNo],0))))</f>
        <v>46021</v>
      </c>
      <c r="D17" t="str">
        <f>IF($A17="","",IFERROR(INDEX(tblBank[Label],MATCH($A17,tblBank[ItemNo],0)),INDEX(tblLedger[Description],MATCH($A17,tblLedger[ItemNo],0))))</f>
        <v>Supplier payment S029 - S029-48285</v>
      </c>
      <c r="E17" s="11">
        <f>IF($A17="","",IFERROR(INDEX(tblBank[Amount],MATCH($A17,tblBank[ItemNo],0)),INDEX(tblLedger[Amount],MATCH($A17,tblLedger[ItemNo],0))))</f>
        <v>-174.72</v>
      </c>
      <c r="F17" t="str">
        <f>IF($A17="","",IFERROR(INDEX(tblBank[Category],MATCH($A17,tblBank[ItemNo],0)),INDEX(tblLedger[Status],MATCH($A17,tblLedger[ItemNo],0))))</f>
        <v>Outstanding payment</v>
      </c>
      <c r="G17" t="str">
        <f>IF($A17="","",IFERROR(INDEX(tblBank[Action],MATCH($A17,tblBank[ItemNo],0)),INDEX(tblLedger[Action],MATCH($A17,tblLedger[ItemNo],0))))</f>
        <v>Check it is debited on the January statement</v>
      </c>
    </row>
    <row r="18" spans="1:7" x14ac:dyDescent="0.25">
      <c r="A18" s="18">
        <f>IF(ROW()-4&lt;=$J$2,ROW()-4,"")</f>
        <v>14</v>
      </c>
      <c r="B18" t="str">
        <f>IF($A18="","",IFERROR("Bank "&amp;INDEX(tblBank[BankId],MATCH($A18,tblBank[ItemNo],0)),"Books "&amp;INDEX(tblLedger[Entry],MATCH($A18,tblLedger[ItemNo],0))))</f>
        <v>Books BNK25-02023</v>
      </c>
      <c r="C18" s="6">
        <f>IF($A18="","",IFERROR(INDEX(tblBank[Date],MATCH($A18,tblBank[ItemNo],0)),INDEX(tblLedger[Date],MATCH($A18,tblLedger[ItemNo],0))))</f>
        <v>46022</v>
      </c>
      <c r="D18" t="str">
        <f>IF($A18="","",IFERROR(INDEX(tblBank[Label],MATCH($A18,tblBank[ItemNo],0)),INDEX(tblLedger[Description],MATCH($A18,tblLedger[ItemNo],0))))</f>
        <v>Customer receipt C021 - INV-2501447</v>
      </c>
      <c r="E18" s="11">
        <f>IF($A18="","",IFERROR(INDEX(tblBank[Amount],MATCH($A18,tblBank[ItemNo],0)),INDEX(tblLedger[Amount],MATCH($A18,tblLedger[ItemNo],0))))</f>
        <v>307.97000000000003</v>
      </c>
      <c r="F18" t="str">
        <f>IF($A18="","",IFERROR(INDEX(tblBank[Category],MATCH($A18,tblBank[ItemNo],0)),INDEX(tblLedger[Status],MATCH($A18,tblLedger[ItemNo],0))))</f>
        <v>Deposit in transit</v>
      </c>
      <c r="G18" t="str">
        <f>IF($A18="","",IFERROR(INDEX(tblBank[Action],MATCH($A18,tblBank[ItemNo],0)),INDEX(tblLedger[Action],MATCH($A18,tblLedger[ItemNo],0))))</f>
        <v>Check it is credited on the January statement</v>
      </c>
    </row>
    <row r="19" spans="1:7" x14ac:dyDescent="0.25">
      <c r="A19" s="18">
        <f>IF(ROW()-4&lt;=$J$2,ROW()-4,"")</f>
        <v>15</v>
      </c>
      <c r="B19" t="str">
        <f>IF($A19="","",IFERROR("Bank "&amp;INDEX(tblBank[BankId],MATCH($A19,tblBank[ItemNo],0)),"Books "&amp;INDEX(tblLedger[Entry],MATCH($A19,tblLedger[ItemNo],0))))</f>
        <v>Books BNK25-02024</v>
      </c>
      <c r="C19" s="6">
        <f>IF($A19="","",IFERROR(INDEX(tblBank[Date],MATCH($A19,tblBank[ItemNo],0)),INDEX(tblLedger[Date],MATCH($A19,tblLedger[ItemNo],0))))</f>
        <v>46022</v>
      </c>
      <c r="D19" t="str">
        <f>IF($A19="","",IFERROR(INDEX(tblBank[Label],MATCH($A19,tblBank[ItemNo],0)),INDEX(tblLedger[Description],MATCH($A19,tblLedger[ItemNo],0))))</f>
        <v>Supplier payment S033 - S033-62468</v>
      </c>
      <c r="E19" s="11">
        <f>IF($A19="","",IFERROR(INDEX(tblBank[Amount],MATCH($A19,tblBank[ItemNo],0)),INDEX(tblLedger[Amount],MATCH($A19,tblLedger[ItemNo],0))))</f>
        <v>-82.31</v>
      </c>
      <c r="F19" t="str">
        <f>IF($A19="","",IFERROR(INDEX(tblBank[Category],MATCH($A19,tblBank[ItemNo],0)),INDEX(tblLedger[Status],MATCH($A19,tblLedger[ItemNo],0))))</f>
        <v>Outstanding payment</v>
      </c>
      <c r="G19" t="str">
        <f>IF($A19="","",IFERROR(INDEX(tblBank[Action],MATCH($A19,tblBank[ItemNo],0)),INDEX(tblLedger[Action],MATCH($A19,tblLedger[ItemNo],0))))</f>
        <v>Check it is debited on the January statement</v>
      </c>
    </row>
    <row r="20" spans="1:7" x14ac:dyDescent="0.25">
      <c r="A20" s="18">
        <f>IF(ROW()-4&lt;=$J$2,ROW()-4,"")</f>
        <v>16</v>
      </c>
      <c r="B20" t="str">
        <f>IF($A20="","",IFERROR("Bank "&amp;INDEX(tblBank[BankId],MATCH($A20,tblBank[ItemNo],0)),"Books "&amp;INDEX(tblLedger[Entry],MATCH($A20,tblLedger[ItemNo],0))))</f>
        <v>Books BNK25-02025</v>
      </c>
      <c r="C20" s="6">
        <f>IF($A20="","",IFERROR(INDEX(tblBank[Date],MATCH($A20,tblBank[ItemNo],0)),INDEX(tblLedger[Date],MATCH($A20,tblLedger[ItemNo],0))))</f>
        <v>46022</v>
      </c>
      <c r="D20" t="str">
        <f>IF($A20="","",IFERROR(INDEX(tblBank[Label],MATCH($A20,tblBank[ItemNo],0)),INDEX(tblLedger[Description],MATCH($A20,tblLedger[ItemNo],0))))</f>
        <v>Customer receipt C035 - INV-2501323</v>
      </c>
      <c r="E20" s="11">
        <f>IF($A20="","",IFERROR(INDEX(tblBank[Amount],MATCH($A20,tblBank[ItemNo],0)),INDEX(tblLedger[Amount],MATCH($A20,tblLedger[ItemNo],0))))</f>
        <v>965.96</v>
      </c>
      <c r="F20" t="str">
        <f>IF($A20="","",IFERROR(INDEX(tblBank[Category],MATCH($A20,tblBank[ItemNo],0)),INDEX(tblLedger[Status],MATCH($A20,tblLedger[ItemNo],0))))</f>
        <v>Deposit in transit</v>
      </c>
      <c r="G20" t="str">
        <f>IF($A20="","",IFERROR(INDEX(tblBank[Action],MATCH($A20,tblBank[ItemNo],0)),INDEX(tblLedger[Action],MATCH($A20,tblLedger[ItemNo],0))))</f>
        <v>Check it is credited on the January statement</v>
      </c>
    </row>
    <row r="21" spans="1:7" x14ac:dyDescent="0.25">
      <c r="A21" s="18" t="str">
        <f>IF(ROW()-4&lt;=$J$2,ROW()-4,"")</f>
        <v/>
      </c>
      <c r="B21" t="str">
        <f>IF($A21="","",IFERROR("Bank "&amp;INDEX(tblBank[BankId],MATCH($A21,tblBank[ItemNo],0)),"Books "&amp;INDEX(tblLedger[Entry],MATCH($A21,tblLedger[ItemNo],0))))</f>
        <v/>
      </c>
      <c r="C21" s="6" t="str">
        <f>IF($A21="","",IFERROR(INDEX(tblBank[Date],MATCH($A21,tblBank[ItemNo],0)),INDEX(tblLedger[Date],MATCH($A21,tblLedger[ItemNo],0))))</f>
        <v/>
      </c>
      <c r="D21" t="str">
        <f>IF($A21="","",IFERROR(INDEX(tblBank[Label],MATCH($A21,tblBank[ItemNo],0)),INDEX(tblLedger[Description],MATCH($A21,tblLedger[ItemNo],0))))</f>
        <v/>
      </c>
      <c r="E21" s="11" t="str">
        <f>IF($A21="","",IFERROR(INDEX(tblBank[Amount],MATCH($A21,tblBank[ItemNo],0)),INDEX(tblLedger[Amount],MATCH($A21,tblLedger[ItemNo],0))))</f>
        <v/>
      </c>
      <c r="F21" t="str">
        <f>IF($A21="","",IFERROR(INDEX(tblBank[Category],MATCH($A21,tblBank[ItemNo],0)),INDEX(tblLedger[Status],MATCH($A21,tblLedger[ItemNo],0))))</f>
        <v/>
      </c>
      <c r="G21" t="str">
        <f>IF($A21="","",IFERROR(INDEX(tblBank[Action],MATCH($A21,tblBank[ItemNo],0)),INDEX(tblLedger[Action],MATCH($A21,tblLedger[ItemNo],0))))</f>
        <v/>
      </c>
    </row>
    <row r="22" spans="1:7" x14ac:dyDescent="0.25">
      <c r="A22" s="18" t="str">
        <f>IF(ROW()-4&lt;=$J$2,ROW()-4,"")</f>
        <v/>
      </c>
      <c r="B22" t="str">
        <f>IF($A22="","",IFERROR("Bank "&amp;INDEX(tblBank[BankId],MATCH($A22,tblBank[ItemNo],0)),"Books "&amp;INDEX(tblLedger[Entry],MATCH($A22,tblLedger[ItemNo],0))))</f>
        <v/>
      </c>
      <c r="C22" s="6" t="str">
        <f>IF($A22="","",IFERROR(INDEX(tblBank[Date],MATCH($A22,tblBank[ItemNo],0)),INDEX(tblLedger[Date],MATCH($A22,tblLedger[ItemNo],0))))</f>
        <v/>
      </c>
      <c r="D22" t="str">
        <f>IF($A22="","",IFERROR(INDEX(tblBank[Label],MATCH($A22,tblBank[ItemNo],0)),INDEX(tblLedger[Description],MATCH($A22,tblLedger[ItemNo],0))))</f>
        <v/>
      </c>
      <c r="E22" s="11" t="str">
        <f>IF($A22="","",IFERROR(INDEX(tblBank[Amount],MATCH($A22,tblBank[ItemNo],0)),INDEX(tblLedger[Amount],MATCH($A22,tblLedger[ItemNo],0))))</f>
        <v/>
      </c>
      <c r="F22" t="str">
        <f>IF($A22="","",IFERROR(INDEX(tblBank[Category],MATCH($A22,tblBank[ItemNo],0)),INDEX(tblLedger[Status],MATCH($A22,tblLedger[ItemNo],0))))</f>
        <v/>
      </c>
      <c r="G22" t="str">
        <f>IF($A22="","",IFERROR(INDEX(tblBank[Action],MATCH($A22,tblBank[ItemNo],0)),INDEX(tblLedger[Action],MATCH($A22,tblLedger[ItemNo],0))))</f>
        <v/>
      </c>
    </row>
    <row r="23" spans="1:7" x14ac:dyDescent="0.25">
      <c r="A23" s="18" t="str">
        <f>IF(ROW()-4&lt;=$J$2,ROW()-4,"")</f>
        <v/>
      </c>
      <c r="B23" t="str">
        <f>IF($A23="","",IFERROR("Bank "&amp;INDEX(tblBank[BankId],MATCH($A23,tblBank[ItemNo],0)),"Books "&amp;INDEX(tblLedger[Entry],MATCH($A23,tblLedger[ItemNo],0))))</f>
        <v/>
      </c>
      <c r="C23" s="6" t="str">
        <f>IF($A23="","",IFERROR(INDEX(tblBank[Date],MATCH($A23,tblBank[ItemNo],0)),INDEX(tblLedger[Date],MATCH($A23,tblLedger[ItemNo],0))))</f>
        <v/>
      </c>
      <c r="D23" t="str">
        <f>IF($A23="","",IFERROR(INDEX(tblBank[Label],MATCH($A23,tblBank[ItemNo],0)),INDEX(tblLedger[Description],MATCH($A23,tblLedger[ItemNo],0))))</f>
        <v/>
      </c>
      <c r="E23" s="11" t="str">
        <f>IF($A23="","",IFERROR(INDEX(tblBank[Amount],MATCH($A23,tblBank[ItemNo],0)),INDEX(tblLedger[Amount],MATCH($A23,tblLedger[ItemNo],0))))</f>
        <v/>
      </c>
      <c r="F23" t="str">
        <f>IF($A23="","",IFERROR(INDEX(tblBank[Category],MATCH($A23,tblBank[ItemNo],0)),INDEX(tblLedger[Status],MATCH($A23,tblLedger[ItemNo],0))))</f>
        <v/>
      </c>
      <c r="G23" t="str">
        <f>IF($A23="","",IFERROR(INDEX(tblBank[Action],MATCH($A23,tblBank[ItemNo],0)),INDEX(tblLedger[Action],MATCH($A23,tblLedger[ItemNo],0))))</f>
        <v/>
      </c>
    </row>
    <row r="24" spans="1:7" x14ac:dyDescent="0.25">
      <c r="A24" s="18" t="str">
        <f>IF(ROW()-4&lt;=$J$2,ROW()-4,"")</f>
        <v/>
      </c>
      <c r="B24" t="str">
        <f>IF($A24="","",IFERROR("Bank "&amp;INDEX(tblBank[BankId],MATCH($A24,tblBank[ItemNo],0)),"Books "&amp;INDEX(tblLedger[Entry],MATCH($A24,tblLedger[ItemNo],0))))</f>
        <v/>
      </c>
      <c r="C24" s="6" t="str">
        <f>IF($A24="","",IFERROR(INDEX(tblBank[Date],MATCH($A24,tblBank[ItemNo],0)),INDEX(tblLedger[Date],MATCH($A24,tblLedger[ItemNo],0))))</f>
        <v/>
      </c>
      <c r="D24" t="str">
        <f>IF($A24="","",IFERROR(INDEX(tblBank[Label],MATCH($A24,tblBank[ItemNo],0)),INDEX(tblLedger[Description],MATCH($A24,tblLedger[ItemNo],0))))</f>
        <v/>
      </c>
      <c r="E24" s="11" t="str">
        <f>IF($A24="","",IFERROR(INDEX(tblBank[Amount],MATCH($A24,tblBank[ItemNo],0)),INDEX(tblLedger[Amount],MATCH($A24,tblLedger[ItemNo],0))))</f>
        <v/>
      </c>
      <c r="F24" t="str">
        <f>IF($A24="","",IFERROR(INDEX(tblBank[Category],MATCH($A24,tblBank[ItemNo],0)),INDEX(tblLedger[Status],MATCH($A24,tblLedger[ItemNo],0))))</f>
        <v/>
      </c>
      <c r="G24" t="str">
        <f>IF($A24="","",IFERROR(INDEX(tblBank[Action],MATCH($A24,tblBank[ItemNo],0)),INDEX(tblLedger[Action],MATCH($A24,tblLedger[ItemNo],0))))</f>
        <v/>
      </c>
    </row>
    <row r="25" spans="1:7" x14ac:dyDescent="0.25">
      <c r="A25" s="18" t="str">
        <f>IF(ROW()-4&lt;=$J$2,ROW()-4,"")</f>
        <v/>
      </c>
      <c r="B25" t="str">
        <f>IF($A25="","",IFERROR("Bank "&amp;INDEX(tblBank[BankId],MATCH($A25,tblBank[ItemNo],0)),"Books "&amp;INDEX(tblLedger[Entry],MATCH($A25,tblLedger[ItemNo],0))))</f>
        <v/>
      </c>
      <c r="C25" s="6" t="str">
        <f>IF($A25="","",IFERROR(INDEX(tblBank[Date],MATCH($A25,tblBank[ItemNo],0)),INDEX(tblLedger[Date],MATCH($A25,tblLedger[ItemNo],0))))</f>
        <v/>
      </c>
      <c r="D25" t="str">
        <f>IF($A25="","",IFERROR(INDEX(tblBank[Label],MATCH($A25,tblBank[ItemNo],0)),INDEX(tblLedger[Description],MATCH($A25,tblLedger[ItemNo],0))))</f>
        <v/>
      </c>
      <c r="E25" s="11" t="str">
        <f>IF($A25="","",IFERROR(INDEX(tblBank[Amount],MATCH($A25,tblBank[ItemNo],0)),INDEX(tblLedger[Amount],MATCH($A25,tblLedger[ItemNo],0))))</f>
        <v/>
      </c>
      <c r="F25" t="str">
        <f>IF($A25="","",IFERROR(INDEX(tblBank[Category],MATCH($A25,tblBank[ItemNo],0)),INDEX(tblLedger[Status],MATCH($A25,tblLedger[ItemNo],0))))</f>
        <v/>
      </c>
      <c r="G25" t="str">
        <f>IF($A25="","",IFERROR(INDEX(tblBank[Action],MATCH($A25,tblBank[ItemNo],0)),INDEX(tblLedger[Action],MATCH($A25,tblLedger[ItemNo],0))))</f>
        <v/>
      </c>
    </row>
    <row r="26" spans="1:7" x14ac:dyDescent="0.25">
      <c r="A26" s="18" t="str">
        <f>IF(ROW()-4&lt;=$J$2,ROW()-4,"")</f>
        <v/>
      </c>
      <c r="B26" t="str">
        <f>IF($A26="","",IFERROR("Bank "&amp;INDEX(tblBank[BankId],MATCH($A26,tblBank[ItemNo],0)),"Books "&amp;INDEX(tblLedger[Entry],MATCH($A26,tblLedger[ItemNo],0))))</f>
        <v/>
      </c>
      <c r="C26" s="6" t="str">
        <f>IF($A26="","",IFERROR(INDEX(tblBank[Date],MATCH($A26,tblBank[ItemNo],0)),INDEX(tblLedger[Date],MATCH($A26,tblLedger[ItemNo],0))))</f>
        <v/>
      </c>
      <c r="D26" t="str">
        <f>IF($A26="","",IFERROR(INDEX(tblBank[Label],MATCH($A26,tblBank[ItemNo],0)),INDEX(tblLedger[Description],MATCH($A26,tblLedger[ItemNo],0))))</f>
        <v/>
      </c>
      <c r="E26" s="11" t="str">
        <f>IF($A26="","",IFERROR(INDEX(tblBank[Amount],MATCH($A26,tblBank[ItemNo],0)),INDEX(tblLedger[Amount],MATCH($A26,tblLedger[ItemNo],0))))</f>
        <v/>
      </c>
      <c r="F26" t="str">
        <f>IF($A26="","",IFERROR(INDEX(tblBank[Category],MATCH($A26,tblBank[ItemNo],0)),INDEX(tblLedger[Status],MATCH($A26,tblLedger[ItemNo],0))))</f>
        <v/>
      </c>
      <c r="G26" t="str">
        <f>IF($A26="","",IFERROR(INDEX(tblBank[Action],MATCH($A26,tblBank[ItemNo],0)),INDEX(tblLedger[Action],MATCH($A26,tblLedger[ItemNo],0))))</f>
        <v/>
      </c>
    </row>
    <row r="27" spans="1:7" x14ac:dyDescent="0.25">
      <c r="A27" s="18" t="str">
        <f>IF(ROW()-4&lt;=$J$2,ROW()-4,"")</f>
        <v/>
      </c>
      <c r="B27" t="str">
        <f>IF($A27="","",IFERROR("Bank "&amp;INDEX(tblBank[BankId],MATCH($A27,tblBank[ItemNo],0)),"Books "&amp;INDEX(tblLedger[Entry],MATCH($A27,tblLedger[ItemNo],0))))</f>
        <v/>
      </c>
      <c r="C27" s="6" t="str">
        <f>IF($A27="","",IFERROR(INDEX(tblBank[Date],MATCH($A27,tblBank[ItemNo],0)),INDEX(tblLedger[Date],MATCH($A27,tblLedger[ItemNo],0))))</f>
        <v/>
      </c>
      <c r="D27" t="str">
        <f>IF($A27="","",IFERROR(INDEX(tblBank[Label],MATCH($A27,tblBank[ItemNo],0)),INDEX(tblLedger[Description],MATCH($A27,tblLedger[ItemNo],0))))</f>
        <v/>
      </c>
      <c r="E27" s="11" t="str">
        <f>IF($A27="","",IFERROR(INDEX(tblBank[Amount],MATCH($A27,tblBank[ItemNo],0)),INDEX(tblLedger[Amount],MATCH($A27,tblLedger[ItemNo],0))))</f>
        <v/>
      </c>
      <c r="F27" t="str">
        <f>IF($A27="","",IFERROR(INDEX(tblBank[Category],MATCH($A27,tblBank[ItemNo],0)),INDEX(tblLedger[Status],MATCH($A27,tblLedger[ItemNo],0))))</f>
        <v/>
      </c>
      <c r="G27" t="str">
        <f>IF($A27="","",IFERROR(INDEX(tblBank[Action],MATCH($A27,tblBank[ItemNo],0)),INDEX(tblLedger[Action],MATCH($A27,tblLedger[ItemNo],0))))</f>
        <v/>
      </c>
    </row>
    <row r="28" spans="1:7" x14ac:dyDescent="0.25">
      <c r="A28" s="18" t="str">
        <f>IF(ROW()-4&lt;=$J$2,ROW()-4,"")</f>
        <v/>
      </c>
      <c r="B28" t="str">
        <f>IF($A28="","",IFERROR("Bank "&amp;INDEX(tblBank[BankId],MATCH($A28,tblBank[ItemNo],0)),"Books "&amp;INDEX(tblLedger[Entry],MATCH($A28,tblLedger[ItemNo],0))))</f>
        <v/>
      </c>
      <c r="C28" s="6" t="str">
        <f>IF($A28="","",IFERROR(INDEX(tblBank[Date],MATCH($A28,tblBank[ItemNo],0)),INDEX(tblLedger[Date],MATCH($A28,tblLedger[ItemNo],0))))</f>
        <v/>
      </c>
      <c r="D28" t="str">
        <f>IF($A28="","",IFERROR(INDEX(tblBank[Label],MATCH($A28,tblBank[ItemNo],0)),INDEX(tblLedger[Description],MATCH($A28,tblLedger[ItemNo],0))))</f>
        <v/>
      </c>
      <c r="E28" s="11" t="str">
        <f>IF($A28="","",IFERROR(INDEX(tblBank[Amount],MATCH($A28,tblBank[ItemNo],0)),INDEX(tblLedger[Amount],MATCH($A28,tblLedger[ItemNo],0))))</f>
        <v/>
      </c>
      <c r="F28" t="str">
        <f>IF($A28="","",IFERROR(INDEX(tblBank[Category],MATCH($A28,tblBank[ItemNo],0)),INDEX(tblLedger[Status],MATCH($A28,tblLedger[ItemNo],0))))</f>
        <v/>
      </c>
      <c r="G28" t="str">
        <f>IF($A28="","",IFERROR(INDEX(tblBank[Action],MATCH($A28,tblBank[ItemNo],0)),INDEX(tblLedger[Action],MATCH($A28,tblLedger[ItemNo],0))))</f>
        <v/>
      </c>
    </row>
    <row r="29" spans="1:7" x14ac:dyDescent="0.25">
      <c r="A29" s="18" t="str">
        <f>IF(ROW()-4&lt;=$J$2,ROW()-4,"")</f>
        <v/>
      </c>
      <c r="B29" t="str">
        <f>IF($A29="","",IFERROR("Bank "&amp;INDEX(tblBank[BankId],MATCH($A29,tblBank[ItemNo],0)),"Books "&amp;INDEX(tblLedger[Entry],MATCH($A29,tblLedger[ItemNo],0))))</f>
        <v/>
      </c>
      <c r="C29" s="6" t="str">
        <f>IF($A29="","",IFERROR(INDEX(tblBank[Date],MATCH($A29,tblBank[ItemNo],0)),INDEX(tblLedger[Date],MATCH($A29,tblLedger[ItemNo],0))))</f>
        <v/>
      </c>
      <c r="D29" t="str">
        <f>IF($A29="","",IFERROR(INDEX(tblBank[Label],MATCH($A29,tblBank[ItemNo],0)),INDEX(tblLedger[Description],MATCH($A29,tblLedger[ItemNo],0))))</f>
        <v/>
      </c>
      <c r="E29" s="11" t="str">
        <f>IF($A29="","",IFERROR(INDEX(tblBank[Amount],MATCH($A29,tblBank[ItemNo],0)),INDEX(tblLedger[Amount],MATCH($A29,tblLedger[ItemNo],0))))</f>
        <v/>
      </c>
      <c r="F29" t="str">
        <f>IF($A29="","",IFERROR(INDEX(tblBank[Category],MATCH($A29,tblBank[ItemNo],0)),INDEX(tblLedger[Status],MATCH($A29,tblLedger[ItemNo],0))))</f>
        <v/>
      </c>
      <c r="G29" t="str">
        <f>IF($A29="","",IFERROR(INDEX(tblBank[Action],MATCH($A29,tblBank[ItemNo],0)),INDEX(tblLedger[Action],MATCH($A29,tblLedger[ItemNo],0))))</f>
        <v/>
      </c>
    </row>
    <row r="30" spans="1:7" x14ac:dyDescent="0.25">
      <c r="A30" s="18" t="str">
        <f>IF(ROW()-4&lt;=$J$2,ROW()-4,"")</f>
        <v/>
      </c>
      <c r="B30" t="str">
        <f>IF($A30="","",IFERROR("Bank "&amp;INDEX(tblBank[BankId],MATCH($A30,tblBank[ItemNo],0)),"Books "&amp;INDEX(tblLedger[Entry],MATCH($A30,tblLedger[ItemNo],0))))</f>
        <v/>
      </c>
      <c r="C30" s="6" t="str">
        <f>IF($A30="","",IFERROR(INDEX(tblBank[Date],MATCH($A30,tblBank[ItemNo],0)),INDEX(tblLedger[Date],MATCH($A30,tblLedger[ItemNo],0))))</f>
        <v/>
      </c>
      <c r="D30" t="str">
        <f>IF($A30="","",IFERROR(INDEX(tblBank[Label],MATCH($A30,tblBank[ItemNo],0)),INDEX(tblLedger[Description],MATCH($A30,tblLedger[ItemNo],0))))</f>
        <v/>
      </c>
      <c r="E30" s="11" t="str">
        <f>IF($A30="","",IFERROR(INDEX(tblBank[Amount],MATCH($A30,tblBank[ItemNo],0)),INDEX(tblLedger[Amount],MATCH($A30,tblLedger[ItemNo],0))))</f>
        <v/>
      </c>
      <c r="F30" t="str">
        <f>IF($A30="","",IFERROR(INDEX(tblBank[Category],MATCH($A30,tblBank[ItemNo],0)),INDEX(tblLedger[Status],MATCH($A30,tblLedger[ItemNo],0))))</f>
        <v/>
      </c>
      <c r="G30" t="str">
        <f>IF($A30="","",IFERROR(INDEX(tblBank[Action],MATCH($A30,tblBank[ItemNo],0)),INDEX(tblLedger[Action],MATCH($A30,tblLedger[ItemNo],0))))</f>
        <v/>
      </c>
    </row>
    <row r="31" spans="1:7" x14ac:dyDescent="0.25">
      <c r="A31" s="18" t="str">
        <f>IF(ROW()-4&lt;=$J$2,ROW()-4,"")</f>
        <v/>
      </c>
      <c r="B31" t="str">
        <f>IF($A31="","",IFERROR("Bank "&amp;INDEX(tblBank[BankId],MATCH($A31,tblBank[ItemNo],0)),"Books "&amp;INDEX(tblLedger[Entry],MATCH($A31,tblLedger[ItemNo],0))))</f>
        <v/>
      </c>
      <c r="C31" s="6" t="str">
        <f>IF($A31="","",IFERROR(INDEX(tblBank[Date],MATCH($A31,tblBank[ItemNo],0)),INDEX(tblLedger[Date],MATCH($A31,tblLedger[ItemNo],0))))</f>
        <v/>
      </c>
      <c r="D31" t="str">
        <f>IF($A31="","",IFERROR(INDEX(tblBank[Label],MATCH($A31,tblBank[ItemNo],0)),INDEX(tblLedger[Description],MATCH($A31,tblLedger[ItemNo],0))))</f>
        <v/>
      </c>
      <c r="E31" s="11" t="str">
        <f>IF($A31="","",IFERROR(INDEX(tblBank[Amount],MATCH($A31,tblBank[ItemNo],0)),INDEX(tblLedger[Amount],MATCH($A31,tblLedger[ItemNo],0))))</f>
        <v/>
      </c>
      <c r="F31" t="str">
        <f>IF($A31="","",IFERROR(INDEX(tblBank[Category],MATCH($A31,tblBank[ItemNo],0)),INDEX(tblLedger[Status],MATCH($A31,tblLedger[ItemNo],0))))</f>
        <v/>
      </c>
      <c r="G31" t="str">
        <f>IF($A31="","",IFERROR(INDEX(tblBank[Action],MATCH($A31,tblBank[ItemNo],0)),INDEX(tblLedger[Action],MATCH($A31,tblLedger[ItemNo],0))))</f>
        <v/>
      </c>
    </row>
    <row r="32" spans="1:7" x14ac:dyDescent="0.25">
      <c r="A32" s="18" t="str">
        <f>IF(ROW()-4&lt;=$J$2,ROW()-4,"")</f>
        <v/>
      </c>
      <c r="B32" t="str">
        <f>IF($A32="","",IFERROR("Bank "&amp;INDEX(tblBank[BankId],MATCH($A32,tblBank[ItemNo],0)),"Books "&amp;INDEX(tblLedger[Entry],MATCH($A32,tblLedger[ItemNo],0))))</f>
        <v/>
      </c>
      <c r="C32" s="6" t="str">
        <f>IF($A32="","",IFERROR(INDEX(tblBank[Date],MATCH($A32,tblBank[ItemNo],0)),INDEX(tblLedger[Date],MATCH($A32,tblLedger[ItemNo],0))))</f>
        <v/>
      </c>
      <c r="D32" t="str">
        <f>IF($A32="","",IFERROR(INDEX(tblBank[Label],MATCH($A32,tblBank[ItemNo],0)),INDEX(tblLedger[Description],MATCH($A32,tblLedger[ItemNo],0))))</f>
        <v/>
      </c>
      <c r="E32" s="11" t="str">
        <f>IF($A32="","",IFERROR(INDEX(tblBank[Amount],MATCH($A32,tblBank[ItemNo],0)),INDEX(tblLedger[Amount],MATCH($A32,tblLedger[ItemNo],0))))</f>
        <v/>
      </c>
      <c r="F32" t="str">
        <f>IF($A32="","",IFERROR(INDEX(tblBank[Category],MATCH($A32,tblBank[ItemNo],0)),INDEX(tblLedger[Status],MATCH($A32,tblLedger[ItemNo],0))))</f>
        <v/>
      </c>
      <c r="G32" t="str">
        <f>IF($A32="","",IFERROR(INDEX(tblBank[Action],MATCH($A32,tblBank[ItemNo],0)),INDEX(tblLedger[Action],MATCH($A32,tblLedger[ItemNo],0))))</f>
        <v/>
      </c>
    </row>
    <row r="33" spans="1:7" x14ac:dyDescent="0.25">
      <c r="A33" s="18" t="str">
        <f>IF(ROW()-4&lt;=$J$2,ROW()-4,"")</f>
        <v/>
      </c>
      <c r="B33" t="str">
        <f>IF($A33="","",IFERROR("Bank "&amp;INDEX(tblBank[BankId],MATCH($A33,tblBank[ItemNo],0)),"Books "&amp;INDEX(tblLedger[Entry],MATCH($A33,tblLedger[ItemNo],0))))</f>
        <v/>
      </c>
      <c r="C33" s="6" t="str">
        <f>IF($A33="","",IFERROR(INDEX(tblBank[Date],MATCH($A33,tblBank[ItemNo],0)),INDEX(tblLedger[Date],MATCH($A33,tblLedger[ItemNo],0))))</f>
        <v/>
      </c>
      <c r="D33" t="str">
        <f>IF($A33="","",IFERROR(INDEX(tblBank[Label],MATCH($A33,tblBank[ItemNo],0)),INDEX(tblLedger[Description],MATCH($A33,tblLedger[ItemNo],0))))</f>
        <v/>
      </c>
      <c r="E33" s="11" t="str">
        <f>IF($A33="","",IFERROR(INDEX(tblBank[Amount],MATCH($A33,tblBank[ItemNo],0)),INDEX(tblLedger[Amount],MATCH($A33,tblLedger[ItemNo],0))))</f>
        <v/>
      </c>
      <c r="F33" t="str">
        <f>IF($A33="","",IFERROR(INDEX(tblBank[Category],MATCH($A33,tblBank[ItemNo],0)),INDEX(tblLedger[Status],MATCH($A33,tblLedger[ItemNo],0))))</f>
        <v/>
      </c>
      <c r="G33" t="str">
        <f>IF($A33="","",IFERROR(INDEX(tblBank[Action],MATCH($A33,tblBank[ItemNo],0)),INDEX(tblLedger[Action],MATCH($A33,tblLedger[ItemNo],0))))</f>
        <v/>
      </c>
    </row>
    <row r="34" spans="1:7" x14ac:dyDescent="0.25">
      <c r="A34" s="18" t="str">
        <f>IF(ROW()-4&lt;=$J$2,ROW()-4,"")</f>
        <v/>
      </c>
      <c r="B34" t="str">
        <f>IF($A34="","",IFERROR("Bank "&amp;INDEX(tblBank[BankId],MATCH($A34,tblBank[ItemNo],0)),"Books "&amp;INDEX(tblLedger[Entry],MATCH($A34,tblLedger[ItemNo],0))))</f>
        <v/>
      </c>
      <c r="C34" s="6" t="str">
        <f>IF($A34="","",IFERROR(INDEX(tblBank[Date],MATCH($A34,tblBank[ItemNo],0)),INDEX(tblLedger[Date],MATCH($A34,tblLedger[ItemNo],0))))</f>
        <v/>
      </c>
      <c r="D34" t="str">
        <f>IF($A34="","",IFERROR(INDEX(tblBank[Label],MATCH($A34,tblBank[ItemNo],0)),INDEX(tblLedger[Description],MATCH($A34,tblLedger[ItemNo],0))))</f>
        <v/>
      </c>
      <c r="E34" s="11" t="str">
        <f>IF($A34="","",IFERROR(INDEX(tblBank[Amount],MATCH($A34,tblBank[ItemNo],0)),INDEX(tblLedger[Amount],MATCH($A34,tblLedger[ItemNo],0))))</f>
        <v/>
      </c>
      <c r="F34" t="str">
        <f>IF($A34="","",IFERROR(INDEX(tblBank[Category],MATCH($A34,tblBank[ItemNo],0)),INDEX(tblLedger[Status],MATCH($A34,tblLedger[ItemNo],0))))</f>
        <v/>
      </c>
      <c r="G34" t="str">
        <f>IF($A34="","",IFERROR(INDEX(tblBank[Action],MATCH($A34,tblBank[ItemNo],0)),INDEX(tblLedger[Action],MATCH($A34,tblLedger[ItemNo],0))))</f>
        <v/>
      </c>
    </row>
    <row r="35" spans="1:7" x14ac:dyDescent="0.25">
      <c r="A35" s="18" t="str">
        <f>IF(ROW()-4&lt;=$J$2,ROW()-4,"")</f>
        <v/>
      </c>
      <c r="B35" t="str">
        <f>IF($A35="","",IFERROR("Bank "&amp;INDEX(tblBank[BankId],MATCH($A35,tblBank[ItemNo],0)),"Books "&amp;INDEX(tblLedger[Entry],MATCH($A35,tblLedger[ItemNo],0))))</f>
        <v/>
      </c>
      <c r="C35" s="6" t="str">
        <f>IF($A35="","",IFERROR(INDEX(tblBank[Date],MATCH($A35,tblBank[ItemNo],0)),INDEX(tblLedger[Date],MATCH($A35,tblLedger[ItemNo],0))))</f>
        <v/>
      </c>
      <c r="D35" t="str">
        <f>IF($A35="","",IFERROR(INDEX(tblBank[Label],MATCH($A35,tblBank[ItemNo],0)),INDEX(tblLedger[Description],MATCH($A35,tblLedger[ItemNo],0))))</f>
        <v/>
      </c>
      <c r="E35" s="11" t="str">
        <f>IF($A35="","",IFERROR(INDEX(tblBank[Amount],MATCH($A35,tblBank[ItemNo],0)),INDEX(tblLedger[Amount],MATCH($A35,tblLedger[ItemNo],0))))</f>
        <v/>
      </c>
      <c r="F35" t="str">
        <f>IF($A35="","",IFERROR(INDEX(tblBank[Category],MATCH($A35,tblBank[ItemNo],0)),INDEX(tblLedger[Status],MATCH($A35,tblLedger[ItemNo],0))))</f>
        <v/>
      </c>
      <c r="G35" t="str">
        <f>IF($A35="","",IFERROR(INDEX(tblBank[Action],MATCH($A35,tblBank[ItemNo],0)),INDEX(tblLedger[Action],MATCH($A35,tblLedger[ItemNo],0))))</f>
        <v/>
      </c>
    </row>
    <row r="36" spans="1:7" x14ac:dyDescent="0.25">
      <c r="A36" s="18" t="str">
        <f>IF(ROW()-4&lt;=$J$2,ROW()-4,"")</f>
        <v/>
      </c>
      <c r="B36" t="str">
        <f>IF($A36="","",IFERROR("Bank "&amp;INDEX(tblBank[BankId],MATCH($A36,tblBank[ItemNo],0)),"Books "&amp;INDEX(tblLedger[Entry],MATCH($A36,tblLedger[ItemNo],0))))</f>
        <v/>
      </c>
      <c r="C36" s="6" t="str">
        <f>IF($A36="","",IFERROR(INDEX(tblBank[Date],MATCH($A36,tblBank[ItemNo],0)),INDEX(tblLedger[Date],MATCH($A36,tblLedger[ItemNo],0))))</f>
        <v/>
      </c>
      <c r="D36" t="str">
        <f>IF($A36="","",IFERROR(INDEX(tblBank[Label],MATCH($A36,tblBank[ItemNo],0)),INDEX(tblLedger[Description],MATCH($A36,tblLedger[ItemNo],0))))</f>
        <v/>
      </c>
      <c r="E36" s="11" t="str">
        <f>IF($A36="","",IFERROR(INDEX(tblBank[Amount],MATCH($A36,tblBank[ItemNo],0)),INDEX(tblLedger[Amount],MATCH($A36,tblLedger[ItemNo],0))))</f>
        <v/>
      </c>
      <c r="F36" t="str">
        <f>IF($A36="","",IFERROR(INDEX(tblBank[Category],MATCH($A36,tblBank[ItemNo],0)),INDEX(tblLedger[Status],MATCH($A36,tblLedger[ItemNo],0))))</f>
        <v/>
      </c>
      <c r="G36" t="str">
        <f>IF($A36="","",IFERROR(INDEX(tblBank[Action],MATCH($A36,tblBank[ItemNo],0)),INDEX(tblLedger[Action],MATCH($A36,tblLedger[ItemNo],0))))</f>
        <v/>
      </c>
    </row>
    <row r="37" spans="1:7" x14ac:dyDescent="0.25">
      <c r="A37" s="18" t="str">
        <f>IF(ROW()-4&lt;=$J$2,ROW()-4,"")</f>
        <v/>
      </c>
      <c r="B37" t="str">
        <f>IF($A37="","",IFERROR("Bank "&amp;INDEX(tblBank[BankId],MATCH($A37,tblBank[ItemNo],0)),"Books "&amp;INDEX(tblLedger[Entry],MATCH($A37,tblLedger[ItemNo],0))))</f>
        <v/>
      </c>
      <c r="C37" s="6" t="str">
        <f>IF($A37="","",IFERROR(INDEX(tblBank[Date],MATCH($A37,tblBank[ItemNo],0)),INDEX(tblLedger[Date],MATCH($A37,tblLedger[ItemNo],0))))</f>
        <v/>
      </c>
      <c r="D37" t="str">
        <f>IF($A37="","",IFERROR(INDEX(tblBank[Label],MATCH($A37,tblBank[ItemNo],0)),INDEX(tblLedger[Description],MATCH($A37,tblLedger[ItemNo],0))))</f>
        <v/>
      </c>
      <c r="E37" s="11" t="str">
        <f>IF($A37="","",IFERROR(INDEX(tblBank[Amount],MATCH($A37,tblBank[ItemNo],0)),INDEX(tblLedger[Amount],MATCH($A37,tblLedger[ItemNo],0))))</f>
        <v/>
      </c>
      <c r="F37" t="str">
        <f>IF($A37="","",IFERROR(INDEX(tblBank[Category],MATCH($A37,tblBank[ItemNo],0)),INDEX(tblLedger[Status],MATCH($A37,tblLedger[ItemNo],0))))</f>
        <v/>
      </c>
      <c r="G37" t="str">
        <f>IF($A37="","",IFERROR(INDEX(tblBank[Action],MATCH($A37,tblBank[ItemNo],0)),INDEX(tblLedger[Action],MATCH($A37,tblLedger[ItemNo],0))))</f>
        <v/>
      </c>
    </row>
    <row r="38" spans="1:7" x14ac:dyDescent="0.25">
      <c r="A38" s="18" t="str">
        <f>IF(ROW()-4&lt;=$J$2,ROW()-4,"")</f>
        <v/>
      </c>
      <c r="B38" t="str">
        <f>IF($A38="","",IFERROR("Bank "&amp;INDEX(tblBank[BankId],MATCH($A38,tblBank[ItemNo],0)),"Books "&amp;INDEX(tblLedger[Entry],MATCH($A38,tblLedger[ItemNo],0))))</f>
        <v/>
      </c>
      <c r="C38" s="6" t="str">
        <f>IF($A38="","",IFERROR(INDEX(tblBank[Date],MATCH($A38,tblBank[ItemNo],0)),INDEX(tblLedger[Date],MATCH($A38,tblLedger[ItemNo],0))))</f>
        <v/>
      </c>
      <c r="D38" t="str">
        <f>IF($A38="","",IFERROR(INDEX(tblBank[Label],MATCH($A38,tblBank[ItemNo],0)),INDEX(tblLedger[Description],MATCH($A38,tblLedger[ItemNo],0))))</f>
        <v/>
      </c>
      <c r="E38" s="11" t="str">
        <f>IF($A38="","",IFERROR(INDEX(tblBank[Amount],MATCH($A38,tblBank[ItemNo],0)),INDEX(tblLedger[Amount],MATCH($A38,tblLedger[ItemNo],0))))</f>
        <v/>
      </c>
      <c r="F38" t="str">
        <f>IF($A38="","",IFERROR(INDEX(tblBank[Category],MATCH($A38,tblBank[ItemNo],0)),INDEX(tblLedger[Status],MATCH($A38,tblLedger[ItemNo],0))))</f>
        <v/>
      </c>
      <c r="G38" t="str">
        <f>IF($A38="","",IFERROR(INDEX(tblBank[Action],MATCH($A38,tblBank[ItemNo],0)),INDEX(tblLedger[Action],MATCH($A38,tblLedger[ItemNo],0))))</f>
        <v/>
      </c>
    </row>
    <row r="39" spans="1:7" x14ac:dyDescent="0.25">
      <c r="A39" s="18" t="str">
        <f>IF(ROW()-4&lt;=$J$2,ROW()-4,"")</f>
        <v/>
      </c>
      <c r="B39" t="str">
        <f>IF($A39="","",IFERROR("Bank "&amp;INDEX(tblBank[BankId],MATCH($A39,tblBank[ItemNo],0)),"Books "&amp;INDEX(tblLedger[Entry],MATCH($A39,tblLedger[ItemNo],0))))</f>
        <v/>
      </c>
      <c r="C39" s="6" t="str">
        <f>IF($A39="","",IFERROR(INDEX(tblBank[Date],MATCH($A39,tblBank[ItemNo],0)),INDEX(tblLedger[Date],MATCH($A39,tblLedger[ItemNo],0))))</f>
        <v/>
      </c>
      <c r="D39" t="str">
        <f>IF($A39="","",IFERROR(INDEX(tblBank[Label],MATCH($A39,tblBank[ItemNo],0)),INDEX(tblLedger[Description],MATCH($A39,tblLedger[ItemNo],0))))</f>
        <v/>
      </c>
      <c r="E39" s="11" t="str">
        <f>IF($A39="","",IFERROR(INDEX(tblBank[Amount],MATCH($A39,tblBank[ItemNo],0)),INDEX(tblLedger[Amount],MATCH($A39,tblLedger[ItemNo],0))))</f>
        <v/>
      </c>
      <c r="F39" t="str">
        <f>IF($A39="","",IFERROR(INDEX(tblBank[Category],MATCH($A39,tblBank[ItemNo],0)),INDEX(tblLedger[Status],MATCH($A39,tblLedger[ItemNo],0))))</f>
        <v/>
      </c>
      <c r="G39" t="str">
        <f>IF($A39="","",IFERROR(INDEX(tblBank[Action],MATCH($A39,tblBank[ItemNo],0)),INDEX(tblLedger[Action],MATCH($A39,tblLedger[ItemNo],0))))</f>
        <v/>
      </c>
    </row>
    <row r="40" spans="1:7" x14ac:dyDescent="0.25">
      <c r="A40" s="18" t="str">
        <f>IF(ROW()-4&lt;=$J$2,ROW()-4,"")</f>
        <v/>
      </c>
      <c r="B40" t="str">
        <f>IF($A40="","",IFERROR("Bank "&amp;INDEX(tblBank[BankId],MATCH($A40,tblBank[ItemNo],0)),"Books "&amp;INDEX(tblLedger[Entry],MATCH($A40,tblLedger[ItemNo],0))))</f>
        <v/>
      </c>
      <c r="C40" s="6" t="str">
        <f>IF($A40="","",IFERROR(INDEX(tblBank[Date],MATCH($A40,tblBank[ItemNo],0)),INDEX(tblLedger[Date],MATCH($A40,tblLedger[ItemNo],0))))</f>
        <v/>
      </c>
      <c r="D40" t="str">
        <f>IF($A40="","",IFERROR(INDEX(tblBank[Label],MATCH($A40,tblBank[ItemNo],0)),INDEX(tblLedger[Description],MATCH($A40,tblLedger[ItemNo],0))))</f>
        <v/>
      </c>
      <c r="E40" s="11" t="str">
        <f>IF($A40="","",IFERROR(INDEX(tblBank[Amount],MATCH($A40,tblBank[ItemNo],0)),INDEX(tblLedger[Amount],MATCH($A40,tblLedger[ItemNo],0))))</f>
        <v/>
      </c>
      <c r="F40" t="str">
        <f>IF($A40="","",IFERROR(INDEX(tblBank[Category],MATCH($A40,tblBank[ItemNo],0)),INDEX(tblLedger[Status],MATCH($A40,tblLedger[ItemNo],0))))</f>
        <v/>
      </c>
      <c r="G40" t="str">
        <f>IF($A40="","",IFERROR(INDEX(tblBank[Action],MATCH($A40,tblBank[ItemNo],0)),INDEX(tblLedger[Action],MATCH($A40,tblLedger[ItemNo],0))))</f>
        <v/>
      </c>
    </row>
    <row r="41" spans="1:7" x14ac:dyDescent="0.25">
      <c r="A41" s="18" t="str">
        <f>IF(ROW()-4&lt;=$J$2,ROW()-4,"")</f>
        <v/>
      </c>
      <c r="B41" t="str">
        <f>IF($A41="","",IFERROR("Bank "&amp;INDEX(tblBank[BankId],MATCH($A41,tblBank[ItemNo],0)),"Books "&amp;INDEX(tblLedger[Entry],MATCH($A41,tblLedger[ItemNo],0))))</f>
        <v/>
      </c>
      <c r="C41" s="6" t="str">
        <f>IF($A41="","",IFERROR(INDEX(tblBank[Date],MATCH($A41,tblBank[ItemNo],0)),INDEX(tblLedger[Date],MATCH($A41,tblLedger[ItemNo],0))))</f>
        <v/>
      </c>
      <c r="D41" t="str">
        <f>IF($A41="","",IFERROR(INDEX(tblBank[Label],MATCH($A41,tblBank[ItemNo],0)),INDEX(tblLedger[Description],MATCH($A41,tblLedger[ItemNo],0))))</f>
        <v/>
      </c>
      <c r="E41" s="11" t="str">
        <f>IF($A41="","",IFERROR(INDEX(tblBank[Amount],MATCH($A41,tblBank[ItemNo],0)),INDEX(tblLedger[Amount],MATCH($A41,tblLedger[ItemNo],0))))</f>
        <v/>
      </c>
      <c r="F41" t="str">
        <f>IF($A41="","",IFERROR(INDEX(tblBank[Category],MATCH($A41,tblBank[ItemNo],0)),INDEX(tblLedger[Status],MATCH($A41,tblLedger[ItemNo],0))))</f>
        <v/>
      </c>
      <c r="G41" t="str">
        <f>IF($A41="","",IFERROR(INDEX(tblBank[Action],MATCH($A41,tblBank[ItemNo],0)),INDEX(tblLedger[Action],MATCH($A41,tblLedger[ItemNo],0))))</f>
        <v/>
      </c>
    </row>
    <row r="42" spans="1:7" x14ac:dyDescent="0.25">
      <c r="A42" s="18" t="str">
        <f>IF(ROW()-4&lt;=$J$2,ROW()-4,"")</f>
        <v/>
      </c>
      <c r="B42" t="str">
        <f>IF($A42="","",IFERROR("Bank "&amp;INDEX(tblBank[BankId],MATCH($A42,tblBank[ItemNo],0)),"Books "&amp;INDEX(tblLedger[Entry],MATCH($A42,tblLedger[ItemNo],0))))</f>
        <v/>
      </c>
      <c r="C42" s="6" t="str">
        <f>IF($A42="","",IFERROR(INDEX(tblBank[Date],MATCH($A42,tblBank[ItemNo],0)),INDEX(tblLedger[Date],MATCH($A42,tblLedger[ItemNo],0))))</f>
        <v/>
      </c>
      <c r="D42" t="str">
        <f>IF($A42="","",IFERROR(INDEX(tblBank[Label],MATCH($A42,tblBank[ItemNo],0)),INDEX(tblLedger[Description],MATCH($A42,tblLedger[ItemNo],0))))</f>
        <v/>
      </c>
      <c r="E42" s="11" t="str">
        <f>IF($A42="","",IFERROR(INDEX(tblBank[Amount],MATCH($A42,tblBank[ItemNo],0)),INDEX(tblLedger[Amount],MATCH($A42,tblLedger[ItemNo],0))))</f>
        <v/>
      </c>
      <c r="F42" t="str">
        <f>IF($A42="","",IFERROR(INDEX(tblBank[Category],MATCH($A42,tblBank[ItemNo],0)),INDEX(tblLedger[Status],MATCH($A42,tblLedger[ItemNo],0))))</f>
        <v/>
      </c>
      <c r="G42" t="str">
        <f>IF($A42="","",IFERROR(INDEX(tblBank[Action],MATCH($A42,tblBank[ItemNo],0)),INDEX(tblLedger[Action],MATCH($A42,tblLedger[ItemNo],0))))</f>
        <v/>
      </c>
    </row>
    <row r="43" spans="1:7" x14ac:dyDescent="0.25">
      <c r="A43" s="18" t="str">
        <f>IF(ROW()-4&lt;=$J$2,ROW()-4,"")</f>
        <v/>
      </c>
      <c r="B43" t="str">
        <f>IF($A43="","",IFERROR("Bank "&amp;INDEX(tblBank[BankId],MATCH($A43,tblBank[ItemNo],0)),"Books "&amp;INDEX(tblLedger[Entry],MATCH($A43,tblLedger[ItemNo],0))))</f>
        <v/>
      </c>
      <c r="C43" s="6" t="str">
        <f>IF($A43="","",IFERROR(INDEX(tblBank[Date],MATCH($A43,tblBank[ItemNo],0)),INDEX(tblLedger[Date],MATCH($A43,tblLedger[ItemNo],0))))</f>
        <v/>
      </c>
      <c r="D43" t="str">
        <f>IF($A43="","",IFERROR(INDEX(tblBank[Label],MATCH($A43,tblBank[ItemNo],0)),INDEX(tblLedger[Description],MATCH($A43,tblLedger[ItemNo],0))))</f>
        <v/>
      </c>
      <c r="E43" s="11" t="str">
        <f>IF($A43="","",IFERROR(INDEX(tblBank[Amount],MATCH($A43,tblBank[ItemNo],0)),INDEX(tblLedger[Amount],MATCH($A43,tblLedger[ItemNo],0))))</f>
        <v/>
      </c>
      <c r="F43" t="str">
        <f>IF($A43="","",IFERROR(INDEX(tblBank[Category],MATCH($A43,tblBank[ItemNo],0)),INDEX(tblLedger[Status],MATCH($A43,tblLedger[ItemNo],0))))</f>
        <v/>
      </c>
      <c r="G43" t="str">
        <f>IF($A43="","",IFERROR(INDEX(tblBank[Action],MATCH($A43,tblBank[ItemNo],0)),INDEX(tblLedger[Action],MATCH($A43,tblLedger[ItemNo],0))))</f>
        <v/>
      </c>
    </row>
    <row r="44" spans="1:7" x14ac:dyDescent="0.25">
      <c r="A44" s="18" t="str">
        <f>IF(ROW()-4&lt;=$J$2,ROW()-4,"")</f>
        <v/>
      </c>
      <c r="B44" t="str">
        <f>IF($A44="","",IFERROR("Bank "&amp;INDEX(tblBank[BankId],MATCH($A44,tblBank[ItemNo],0)),"Books "&amp;INDEX(tblLedger[Entry],MATCH($A44,tblLedger[ItemNo],0))))</f>
        <v/>
      </c>
      <c r="C44" s="6" t="str">
        <f>IF($A44="","",IFERROR(INDEX(tblBank[Date],MATCH($A44,tblBank[ItemNo],0)),INDEX(tblLedger[Date],MATCH($A44,tblLedger[ItemNo],0))))</f>
        <v/>
      </c>
      <c r="D44" t="str">
        <f>IF($A44="","",IFERROR(INDEX(tblBank[Label],MATCH($A44,tblBank[ItemNo],0)),INDEX(tblLedger[Description],MATCH($A44,tblLedger[ItemNo],0))))</f>
        <v/>
      </c>
      <c r="E44" s="11" t="str">
        <f>IF($A44="","",IFERROR(INDEX(tblBank[Amount],MATCH($A44,tblBank[ItemNo],0)),INDEX(tblLedger[Amount],MATCH($A44,tblLedger[ItemNo],0))))</f>
        <v/>
      </c>
      <c r="F44" t="str">
        <f>IF($A44="","",IFERROR(INDEX(tblBank[Category],MATCH($A44,tblBank[ItemNo],0)),INDEX(tblLedger[Status],MATCH($A44,tblLedger[ItemNo],0))))</f>
        <v/>
      </c>
      <c r="G44" t="str">
        <f>IF($A44="","",IFERROR(INDEX(tblBank[Action],MATCH($A44,tblBank[ItemNo],0)),INDEX(tblLedger[Action],MATCH($A44,tblLedger[ItemNo],0))))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8FCD-BC0C-470A-A08E-F98CC6108A08}">
  <dimension ref="A1:O230"/>
  <sheetViews>
    <sheetView workbookViewId="0"/>
  </sheetViews>
  <sheetFormatPr baseColWidth="10" defaultRowHeight="13.2" x14ac:dyDescent="0.25"/>
  <cols>
    <col min="1" max="1" width="9.21875" bestFit="1" customWidth="1"/>
    <col min="2" max="2" width="10.109375" bestFit="1" customWidth="1"/>
    <col min="3" max="3" width="55.21875" bestFit="1" customWidth="1"/>
    <col min="4" max="4" width="17.44140625" bestFit="1" customWidth="1"/>
    <col min="5" max="5" width="10" bestFit="1" customWidth="1"/>
    <col min="6" max="6" width="12.33203125" bestFit="1" customWidth="1"/>
    <col min="7" max="7" width="14.77734375" bestFit="1" customWidth="1"/>
    <col min="8" max="8" width="15.33203125" bestFit="1" customWidth="1"/>
    <col min="9" max="9" width="14.6640625" bestFit="1" customWidth="1"/>
    <col min="10" max="10" width="14.5546875" bestFit="1" customWidth="1"/>
    <col min="11" max="11" width="12" bestFit="1" customWidth="1"/>
    <col min="12" max="12" width="15.88671875" bestFit="1" customWidth="1"/>
    <col min="13" max="13" width="19.88671875" bestFit="1" customWidth="1"/>
    <col min="14" max="14" width="55.21875" bestFit="1" customWidth="1"/>
    <col min="15" max="15" width="9.33203125" bestFit="1" customWidth="1"/>
  </cols>
  <sheetData>
    <row r="1" spans="1:15" x14ac:dyDescent="0.25">
      <c r="A1" t="s">
        <v>744</v>
      </c>
      <c r="B1" t="s">
        <v>44</v>
      </c>
      <c r="C1" t="s">
        <v>745</v>
      </c>
      <c r="D1" t="s">
        <v>45</v>
      </c>
      <c r="E1" t="s">
        <v>47</v>
      </c>
      <c r="F1" t="s">
        <v>1201</v>
      </c>
      <c r="G1" t="s">
        <v>1202</v>
      </c>
      <c r="H1" t="s">
        <v>1203</v>
      </c>
      <c r="I1" t="s">
        <v>1204</v>
      </c>
      <c r="J1" t="s">
        <v>1205</v>
      </c>
      <c r="K1" t="s">
        <v>1206</v>
      </c>
      <c r="L1" t="s">
        <v>1207</v>
      </c>
      <c r="M1" t="s">
        <v>20</v>
      </c>
      <c r="N1" t="s">
        <v>21</v>
      </c>
      <c r="O1" t="s">
        <v>1208</v>
      </c>
    </row>
    <row r="2" spans="1:15" x14ac:dyDescent="0.25">
      <c r="A2" s="10" t="s">
        <v>746</v>
      </c>
      <c r="B2" s="6">
        <v>45992</v>
      </c>
      <c r="C2" s="10" t="s">
        <v>747</v>
      </c>
      <c r="D2" s="10" t="s">
        <v>97</v>
      </c>
      <c r="E2" s="11">
        <v>4740.17</v>
      </c>
      <c r="F2" s="10" t="str">
        <f>IF(tblBank[[#This Row],[Reference]]="","",IFERROR(INDEX(tblLedger[Entry],MATCH(tblBank[[#This Row],[Reference]],tblLedger[Reference],0)),""))</f>
        <v>BNK25-01811</v>
      </c>
      <c r="G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" s="10" t="str">
        <f>IF(tblBank[[#This Row],[RefEntry]]&lt;&gt;"",tblBank[[#This Row],[RefEntry]],tblBank[[#This Row],[AmountEntry]])</f>
        <v>BNK25-01811</v>
      </c>
      <c r="I2" s="10" t="str">
        <f>IF(tblBank[[#This Row],[RefEntry]]&lt;&gt;"","Reference",IF(tblBank[[#This Row],[AmountEntry]]&lt;&gt;"","Amount and date","None"))</f>
        <v>Reference</v>
      </c>
      <c r="J2" s="11">
        <f>IF(tblBank[[#This Row],[MatchedEntry]]="","",INDEX(tblLedger[Amount],MATCH(tblBank[[#This Row],[MatchedEntry]],tblLedger[Entry],0)))</f>
        <v>4740.17</v>
      </c>
      <c r="K2" s="11">
        <f>IF(tblBank[[#This Row],[MatchedEntry]]="",0,ROUND(tblBank[[#This Row],[Amount]]-tblBank[[#This Row],[BookAmount]],2))</f>
        <v>0</v>
      </c>
      <c r="L2" s="10" t="str">
        <f>IF(tblBank[[#This Row],[MatchedEntry]]="","Not in books",IF(tblBank[[#This Row],[Difference]]&lt;&gt;0,"Amount difference","Matched"))</f>
        <v>Matched</v>
      </c>
      <c r="M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" s="10" t="str">
        <f>IF(tblBank[[#This Row],[Status]]="Matched","",COUNTIF(INDEX(tblBank[Status],1):tblBank[[#This Row],[Status]],"&lt;&gt;Matched"))</f>
        <v/>
      </c>
    </row>
    <row r="3" spans="1:15" x14ac:dyDescent="0.25">
      <c r="A3" s="10" t="s">
        <v>748</v>
      </c>
      <c r="B3" s="6">
        <v>45992</v>
      </c>
      <c r="C3" s="10" t="s">
        <v>749</v>
      </c>
      <c r="D3" s="10" t="s">
        <v>91</v>
      </c>
      <c r="E3" s="11">
        <v>179.12</v>
      </c>
      <c r="F3" s="10" t="str">
        <f>IF(tblBank[[#This Row],[Reference]]="","",IFERROR(INDEX(tblLedger[Entry],MATCH(tblBank[[#This Row],[Reference]],tblLedger[Reference],0)),""))</f>
        <v>BNK25-01809</v>
      </c>
      <c r="G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" s="10" t="str">
        <f>IF(tblBank[[#This Row],[RefEntry]]&lt;&gt;"",tblBank[[#This Row],[RefEntry]],tblBank[[#This Row],[AmountEntry]])</f>
        <v>BNK25-01809</v>
      </c>
      <c r="I3" s="10" t="str">
        <f>IF(tblBank[[#This Row],[RefEntry]]&lt;&gt;"","Reference",IF(tblBank[[#This Row],[AmountEntry]]&lt;&gt;"","Amount and date","None"))</f>
        <v>Reference</v>
      </c>
      <c r="J3" s="11">
        <f>IF(tblBank[[#This Row],[MatchedEntry]]="","",INDEX(tblLedger[Amount],MATCH(tblBank[[#This Row],[MatchedEntry]],tblLedger[Entry],0)))</f>
        <v>179.12</v>
      </c>
      <c r="K3" s="11">
        <f>IF(tblBank[[#This Row],[MatchedEntry]]="",0,ROUND(tblBank[[#This Row],[Amount]]-tblBank[[#This Row],[BookAmount]],2))</f>
        <v>0</v>
      </c>
      <c r="L3" s="10" t="str">
        <f>IF(tblBank[[#This Row],[MatchedEntry]]="","Not in books",IF(tblBank[[#This Row],[Difference]]&lt;&gt;0,"Amount difference","Matched"))</f>
        <v>Matched</v>
      </c>
      <c r="M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" s="10" t="str">
        <f>IF(tblBank[[#This Row],[Status]]="Matched","",COUNTIF(INDEX(tblBank[Status],1):tblBank[[#This Row],[Status]],"&lt;&gt;Matched"))</f>
        <v/>
      </c>
    </row>
    <row r="4" spans="1:15" x14ac:dyDescent="0.25">
      <c r="A4" s="10" t="s">
        <v>750</v>
      </c>
      <c r="B4" s="6">
        <v>45992</v>
      </c>
      <c r="C4" s="10" t="s">
        <v>751</v>
      </c>
      <c r="D4" s="10" t="s">
        <v>55</v>
      </c>
      <c r="E4" s="11">
        <v>407.72</v>
      </c>
      <c r="F4" s="10" t="str">
        <f>IF(tblBank[[#This Row],[Reference]]="","",IFERROR(INDEX(tblLedger[Entry],MATCH(tblBank[[#This Row],[Reference]],tblLedger[Reference],0)),""))</f>
        <v>BNK25-01797</v>
      </c>
      <c r="G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" s="10" t="str">
        <f>IF(tblBank[[#This Row],[RefEntry]]&lt;&gt;"",tblBank[[#This Row],[RefEntry]],tblBank[[#This Row],[AmountEntry]])</f>
        <v>BNK25-01797</v>
      </c>
      <c r="I4" s="10" t="str">
        <f>IF(tblBank[[#This Row],[RefEntry]]&lt;&gt;"","Reference",IF(tblBank[[#This Row],[AmountEntry]]&lt;&gt;"","Amount and date","None"))</f>
        <v>Reference</v>
      </c>
      <c r="J4" s="11">
        <f>IF(tblBank[[#This Row],[MatchedEntry]]="","",INDEX(tblLedger[Amount],MATCH(tblBank[[#This Row],[MatchedEntry]],tblLedger[Entry],0)))</f>
        <v>407.72</v>
      </c>
      <c r="K4" s="11">
        <f>IF(tblBank[[#This Row],[MatchedEntry]]="",0,ROUND(tblBank[[#This Row],[Amount]]-tblBank[[#This Row],[BookAmount]],2))</f>
        <v>0</v>
      </c>
      <c r="L4" s="10" t="str">
        <f>IF(tblBank[[#This Row],[MatchedEntry]]="","Not in books",IF(tblBank[[#This Row],[Difference]]&lt;&gt;0,"Amount difference","Matched"))</f>
        <v>Matched</v>
      </c>
      <c r="M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" s="10" t="str">
        <f>IF(tblBank[[#This Row],[Status]]="Matched","",COUNTIF(INDEX(tblBank[Status],1):tblBank[[#This Row],[Status]],"&lt;&gt;Matched"))</f>
        <v/>
      </c>
    </row>
    <row r="5" spans="1:15" x14ac:dyDescent="0.25">
      <c r="A5" s="10" t="s">
        <v>752</v>
      </c>
      <c r="B5" s="6">
        <v>45992</v>
      </c>
      <c r="C5" s="10" t="s">
        <v>753</v>
      </c>
      <c r="D5" s="10" t="s">
        <v>85</v>
      </c>
      <c r="E5" s="11">
        <v>1588.08</v>
      </c>
      <c r="F5" s="10" t="str">
        <f>IF(tblBank[[#This Row],[Reference]]="","",IFERROR(INDEX(tblLedger[Entry],MATCH(tblBank[[#This Row],[Reference]],tblLedger[Reference],0)),""))</f>
        <v>BNK25-01807</v>
      </c>
      <c r="G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" s="10" t="str">
        <f>IF(tblBank[[#This Row],[RefEntry]]&lt;&gt;"",tblBank[[#This Row],[RefEntry]],tblBank[[#This Row],[AmountEntry]])</f>
        <v>BNK25-01807</v>
      </c>
      <c r="I5" s="10" t="str">
        <f>IF(tblBank[[#This Row],[RefEntry]]&lt;&gt;"","Reference",IF(tblBank[[#This Row],[AmountEntry]]&lt;&gt;"","Amount and date","None"))</f>
        <v>Reference</v>
      </c>
      <c r="J5" s="11">
        <f>IF(tblBank[[#This Row],[MatchedEntry]]="","",INDEX(tblLedger[Amount],MATCH(tblBank[[#This Row],[MatchedEntry]],tblLedger[Entry],0)))</f>
        <v>1588.08</v>
      </c>
      <c r="K5" s="11">
        <f>IF(tblBank[[#This Row],[MatchedEntry]]="",0,ROUND(tblBank[[#This Row],[Amount]]-tblBank[[#This Row],[BookAmount]],2))</f>
        <v>0</v>
      </c>
      <c r="L5" s="10" t="str">
        <f>IF(tblBank[[#This Row],[MatchedEntry]]="","Not in books",IF(tblBank[[#This Row],[Difference]]&lt;&gt;0,"Amount difference","Matched"))</f>
        <v>Matched</v>
      </c>
      <c r="M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" s="10" t="str">
        <f>IF(tblBank[[#This Row],[Status]]="Matched","",COUNTIF(INDEX(tblBank[Status],1):tblBank[[#This Row],[Status]],"&lt;&gt;Matched"))</f>
        <v/>
      </c>
    </row>
    <row r="6" spans="1:15" x14ac:dyDescent="0.25">
      <c r="A6" s="10" t="s">
        <v>754</v>
      </c>
      <c r="B6" s="6">
        <v>45992</v>
      </c>
      <c r="C6" s="10" t="s">
        <v>755</v>
      </c>
      <c r="D6" s="10" t="s">
        <v>64</v>
      </c>
      <c r="E6" s="11">
        <v>479.32</v>
      </c>
      <c r="F6" s="10" t="str">
        <f>IF(tblBank[[#This Row],[Reference]]="","",IFERROR(INDEX(tblLedger[Entry],MATCH(tblBank[[#This Row],[Reference]],tblLedger[Reference],0)),""))</f>
        <v>BNK25-01800</v>
      </c>
      <c r="G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" s="10" t="str">
        <f>IF(tblBank[[#This Row],[RefEntry]]&lt;&gt;"",tblBank[[#This Row],[RefEntry]],tblBank[[#This Row],[AmountEntry]])</f>
        <v>BNK25-01800</v>
      </c>
      <c r="I6" s="10" t="str">
        <f>IF(tblBank[[#This Row],[RefEntry]]&lt;&gt;"","Reference",IF(tblBank[[#This Row],[AmountEntry]]&lt;&gt;"","Amount and date","None"))</f>
        <v>Reference</v>
      </c>
      <c r="J6" s="11">
        <f>IF(tblBank[[#This Row],[MatchedEntry]]="","",INDEX(tblLedger[Amount],MATCH(tblBank[[#This Row],[MatchedEntry]],tblLedger[Entry],0)))</f>
        <v>479.32</v>
      </c>
      <c r="K6" s="11">
        <f>IF(tblBank[[#This Row],[MatchedEntry]]="",0,ROUND(tblBank[[#This Row],[Amount]]-tblBank[[#This Row],[BookAmount]],2))</f>
        <v>0</v>
      </c>
      <c r="L6" s="10" t="str">
        <f>IF(tblBank[[#This Row],[MatchedEntry]]="","Not in books",IF(tblBank[[#This Row],[Difference]]&lt;&gt;0,"Amount difference","Matched"))</f>
        <v>Matched</v>
      </c>
      <c r="M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" s="10" t="str">
        <f>IF(tblBank[[#This Row],[Status]]="Matched","",COUNTIF(INDEX(tblBank[Status],1):tblBank[[#This Row],[Status]],"&lt;&gt;Matched"))</f>
        <v/>
      </c>
    </row>
    <row r="7" spans="1:15" x14ac:dyDescent="0.25">
      <c r="A7" s="10" t="s">
        <v>756</v>
      </c>
      <c r="B7" s="6">
        <v>45992</v>
      </c>
      <c r="C7" s="10" t="s">
        <v>757</v>
      </c>
      <c r="D7" s="10" t="s">
        <v>76</v>
      </c>
      <c r="E7" s="11">
        <v>2544.2399999999998</v>
      </c>
      <c r="F7" s="10" t="str">
        <f>IF(tblBank[[#This Row],[Reference]]="","",IFERROR(INDEX(tblLedger[Entry],MATCH(tblBank[[#This Row],[Reference]],tblLedger[Reference],0)),""))</f>
        <v>BNK25-01804</v>
      </c>
      <c r="G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" s="10" t="str">
        <f>IF(tblBank[[#This Row],[RefEntry]]&lt;&gt;"",tblBank[[#This Row],[RefEntry]],tblBank[[#This Row],[AmountEntry]])</f>
        <v>BNK25-01804</v>
      </c>
      <c r="I7" s="10" t="str">
        <f>IF(tblBank[[#This Row],[RefEntry]]&lt;&gt;"","Reference",IF(tblBank[[#This Row],[AmountEntry]]&lt;&gt;"","Amount and date","None"))</f>
        <v>Reference</v>
      </c>
      <c r="J7" s="11">
        <f>IF(tblBank[[#This Row],[MatchedEntry]]="","",INDEX(tblLedger[Amount],MATCH(tblBank[[#This Row],[MatchedEntry]],tblLedger[Entry],0)))</f>
        <v>2544.2399999999998</v>
      </c>
      <c r="K7" s="11">
        <f>IF(tblBank[[#This Row],[MatchedEntry]]="",0,ROUND(tblBank[[#This Row],[Amount]]-tblBank[[#This Row],[BookAmount]],2))</f>
        <v>0</v>
      </c>
      <c r="L7" s="10" t="str">
        <f>IF(tblBank[[#This Row],[MatchedEntry]]="","Not in books",IF(tblBank[[#This Row],[Difference]]&lt;&gt;0,"Amount difference","Matched"))</f>
        <v>Matched</v>
      </c>
      <c r="M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" s="10" t="str">
        <f>IF(tblBank[[#This Row],[Status]]="Matched","",COUNTIF(INDEX(tblBank[Status],1):tblBank[[#This Row],[Status]],"&lt;&gt;Matched"))</f>
        <v/>
      </c>
    </row>
    <row r="8" spans="1:15" x14ac:dyDescent="0.25">
      <c r="A8" s="10" t="s">
        <v>758</v>
      </c>
      <c r="B8" s="6">
        <v>45992</v>
      </c>
      <c r="C8" s="10" t="s">
        <v>759</v>
      </c>
      <c r="D8" s="10" t="s">
        <v>94</v>
      </c>
      <c r="E8" s="11">
        <v>1095.52</v>
      </c>
      <c r="F8" s="10" t="str">
        <f>IF(tblBank[[#This Row],[Reference]]="","",IFERROR(INDEX(tblLedger[Entry],MATCH(tblBank[[#This Row],[Reference]],tblLedger[Reference],0)),""))</f>
        <v>BNK25-01810</v>
      </c>
      <c r="G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" s="10" t="str">
        <f>IF(tblBank[[#This Row],[RefEntry]]&lt;&gt;"",tblBank[[#This Row],[RefEntry]],tblBank[[#This Row],[AmountEntry]])</f>
        <v>BNK25-01810</v>
      </c>
      <c r="I8" s="10" t="str">
        <f>IF(tblBank[[#This Row],[RefEntry]]&lt;&gt;"","Reference",IF(tblBank[[#This Row],[AmountEntry]]&lt;&gt;"","Amount and date","None"))</f>
        <v>Reference</v>
      </c>
      <c r="J8" s="11">
        <f>IF(tblBank[[#This Row],[MatchedEntry]]="","",INDEX(tblLedger[Amount],MATCH(tblBank[[#This Row],[MatchedEntry]],tblLedger[Entry],0)))</f>
        <v>1095.52</v>
      </c>
      <c r="K8" s="11">
        <f>IF(tblBank[[#This Row],[MatchedEntry]]="",0,ROUND(tblBank[[#This Row],[Amount]]-tblBank[[#This Row],[BookAmount]],2))</f>
        <v>0</v>
      </c>
      <c r="L8" s="10" t="str">
        <f>IF(tblBank[[#This Row],[MatchedEntry]]="","Not in books",IF(tblBank[[#This Row],[Difference]]&lt;&gt;0,"Amount difference","Matched"))</f>
        <v>Matched</v>
      </c>
      <c r="M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" s="10" t="str">
        <f>IF(tblBank[[#This Row],[Status]]="Matched","",COUNTIF(INDEX(tblBank[Status],1):tblBank[[#This Row],[Status]],"&lt;&gt;Matched"))</f>
        <v/>
      </c>
    </row>
    <row r="9" spans="1:15" x14ac:dyDescent="0.25">
      <c r="A9" s="10" t="s">
        <v>760</v>
      </c>
      <c r="B9" s="6">
        <v>45992</v>
      </c>
      <c r="C9" s="10" t="s">
        <v>761</v>
      </c>
      <c r="D9" s="10" t="s">
        <v>61</v>
      </c>
      <c r="E9" s="11">
        <v>311.24</v>
      </c>
      <c r="F9" s="10" t="str">
        <f>IF(tblBank[[#This Row],[Reference]]="","",IFERROR(INDEX(tblLedger[Entry],MATCH(tblBank[[#This Row],[Reference]],tblLedger[Reference],0)),""))</f>
        <v>BNK25-01799</v>
      </c>
      <c r="G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" s="10" t="str">
        <f>IF(tblBank[[#This Row],[RefEntry]]&lt;&gt;"",tblBank[[#This Row],[RefEntry]],tblBank[[#This Row],[AmountEntry]])</f>
        <v>BNK25-01799</v>
      </c>
      <c r="I9" s="10" t="str">
        <f>IF(tblBank[[#This Row],[RefEntry]]&lt;&gt;"","Reference",IF(tblBank[[#This Row],[AmountEntry]]&lt;&gt;"","Amount and date","None"))</f>
        <v>Reference</v>
      </c>
      <c r="J9" s="11">
        <f>IF(tblBank[[#This Row],[MatchedEntry]]="","",INDEX(tblLedger[Amount],MATCH(tblBank[[#This Row],[MatchedEntry]],tblLedger[Entry],0)))</f>
        <v>311.24</v>
      </c>
      <c r="K9" s="11">
        <f>IF(tblBank[[#This Row],[MatchedEntry]]="",0,ROUND(tblBank[[#This Row],[Amount]]-tblBank[[#This Row],[BookAmount]],2))</f>
        <v>0</v>
      </c>
      <c r="L9" s="10" t="str">
        <f>IF(tblBank[[#This Row],[MatchedEntry]]="","Not in books",IF(tblBank[[#This Row],[Difference]]&lt;&gt;0,"Amount difference","Matched"))</f>
        <v>Matched</v>
      </c>
      <c r="M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" s="10" t="str">
        <f>IF(tblBank[[#This Row],[Status]]="Matched","",COUNTIF(INDEX(tblBank[Status],1):tblBank[[#This Row],[Status]],"&lt;&gt;Matched"))</f>
        <v/>
      </c>
    </row>
    <row r="10" spans="1:15" x14ac:dyDescent="0.25">
      <c r="A10" s="10" t="s">
        <v>762</v>
      </c>
      <c r="B10" s="6">
        <v>45992</v>
      </c>
      <c r="C10" s="10" t="s">
        <v>763</v>
      </c>
      <c r="D10" s="10" t="s">
        <v>52</v>
      </c>
      <c r="E10" s="11">
        <v>2578.2600000000002</v>
      </c>
      <c r="F10" s="10" t="str">
        <f>IF(tblBank[[#This Row],[Reference]]="","",IFERROR(INDEX(tblLedger[Entry],MATCH(tblBank[[#This Row],[Reference]],tblLedger[Reference],0)),""))</f>
        <v>BNK25-01796</v>
      </c>
      <c r="G1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" s="10" t="str">
        <f>IF(tblBank[[#This Row],[RefEntry]]&lt;&gt;"",tblBank[[#This Row],[RefEntry]],tblBank[[#This Row],[AmountEntry]])</f>
        <v>BNK25-01796</v>
      </c>
      <c r="I10" s="10" t="str">
        <f>IF(tblBank[[#This Row],[RefEntry]]&lt;&gt;"","Reference",IF(tblBank[[#This Row],[AmountEntry]]&lt;&gt;"","Amount and date","None"))</f>
        <v>Reference</v>
      </c>
      <c r="J10" s="11">
        <f>IF(tblBank[[#This Row],[MatchedEntry]]="","",INDEX(tblLedger[Amount],MATCH(tblBank[[#This Row],[MatchedEntry]],tblLedger[Entry],0)))</f>
        <v>2578.2600000000002</v>
      </c>
      <c r="K10" s="11">
        <f>IF(tblBank[[#This Row],[MatchedEntry]]="",0,ROUND(tblBank[[#This Row],[Amount]]-tblBank[[#This Row],[BookAmount]],2))</f>
        <v>0</v>
      </c>
      <c r="L10" s="10" t="str">
        <f>IF(tblBank[[#This Row],[MatchedEntry]]="","Not in books",IF(tblBank[[#This Row],[Difference]]&lt;&gt;0,"Amount difference","Matched"))</f>
        <v>Matched</v>
      </c>
      <c r="M1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" s="10" t="str">
        <f>IF(tblBank[[#This Row],[Status]]="Matched","",COUNTIF(INDEX(tblBank[Status],1):tblBank[[#This Row],[Status]],"&lt;&gt;Matched"))</f>
        <v/>
      </c>
    </row>
    <row r="11" spans="1:15" x14ac:dyDescent="0.25">
      <c r="A11" s="10" t="s">
        <v>764</v>
      </c>
      <c r="B11" s="6">
        <v>45992</v>
      </c>
      <c r="C11" s="10" t="s">
        <v>765</v>
      </c>
      <c r="D11" s="10" t="s">
        <v>70</v>
      </c>
      <c r="E11" s="11">
        <v>413.15</v>
      </c>
      <c r="F11" s="10" t="str">
        <f>IF(tblBank[[#This Row],[Reference]]="","",IFERROR(INDEX(tblLedger[Entry],MATCH(tblBank[[#This Row],[Reference]],tblLedger[Reference],0)),""))</f>
        <v>BNK25-01802</v>
      </c>
      <c r="G1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" s="10" t="str">
        <f>IF(tblBank[[#This Row],[RefEntry]]&lt;&gt;"",tblBank[[#This Row],[RefEntry]],tblBank[[#This Row],[AmountEntry]])</f>
        <v>BNK25-01802</v>
      </c>
      <c r="I11" s="10" t="str">
        <f>IF(tblBank[[#This Row],[RefEntry]]&lt;&gt;"","Reference",IF(tblBank[[#This Row],[AmountEntry]]&lt;&gt;"","Amount and date","None"))</f>
        <v>Reference</v>
      </c>
      <c r="J11" s="11">
        <f>IF(tblBank[[#This Row],[MatchedEntry]]="","",INDEX(tblLedger[Amount],MATCH(tblBank[[#This Row],[MatchedEntry]],tblLedger[Entry],0)))</f>
        <v>413.15</v>
      </c>
      <c r="K11" s="11">
        <f>IF(tblBank[[#This Row],[MatchedEntry]]="",0,ROUND(tblBank[[#This Row],[Amount]]-tblBank[[#This Row],[BookAmount]],2))</f>
        <v>0</v>
      </c>
      <c r="L11" s="10" t="str">
        <f>IF(tblBank[[#This Row],[MatchedEntry]]="","Not in books",IF(tblBank[[#This Row],[Difference]]&lt;&gt;0,"Amount difference","Matched"))</f>
        <v>Matched</v>
      </c>
      <c r="M1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" s="10" t="str">
        <f>IF(tblBank[[#This Row],[Status]]="Matched","",COUNTIF(INDEX(tblBank[Status],1):tblBank[[#This Row],[Status]],"&lt;&gt;Matched"))</f>
        <v/>
      </c>
    </row>
    <row r="12" spans="1:15" x14ac:dyDescent="0.25">
      <c r="A12" s="10" t="s">
        <v>766</v>
      </c>
      <c r="B12" s="6">
        <v>45992</v>
      </c>
      <c r="C12" s="10" t="s">
        <v>767</v>
      </c>
      <c r="D12" s="10" t="s">
        <v>73</v>
      </c>
      <c r="E12" s="11">
        <v>825.16</v>
      </c>
      <c r="F12" s="10" t="str">
        <f>IF(tblBank[[#This Row],[Reference]]="","",IFERROR(INDEX(tblLedger[Entry],MATCH(tblBank[[#This Row],[Reference]],tblLedger[Reference],0)),""))</f>
        <v>BNK25-01803</v>
      </c>
      <c r="G1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" s="10" t="str">
        <f>IF(tblBank[[#This Row],[RefEntry]]&lt;&gt;"",tblBank[[#This Row],[RefEntry]],tblBank[[#This Row],[AmountEntry]])</f>
        <v>BNK25-01803</v>
      </c>
      <c r="I12" s="10" t="str">
        <f>IF(tblBank[[#This Row],[RefEntry]]&lt;&gt;"","Reference",IF(tblBank[[#This Row],[AmountEntry]]&lt;&gt;"","Amount and date","None"))</f>
        <v>Reference</v>
      </c>
      <c r="J12" s="11">
        <f>IF(tblBank[[#This Row],[MatchedEntry]]="","",INDEX(tblLedger[Amount],MATCH(tblBank[[#This Row],[MatchedEntry]],tblLedger[Entry],0)))</f>
        <v>825.16</v>
      </c>
      <c r="K12" s="11">
        <f>IF(tblBank[[#This Row],[MatchedEntry]]="",0,ROUND(tblBank[[#This Row],[Amount]]-tblBank[[#This Row],[BookAmount]],2))</f>
        <v>0</v>
      </c>
      <c r="L12" s="10" t="str">
        <f>IF(tblBank[[#This Row],[MatchedEntry]]="","Not in books",IF(tblBank[[#This Row],[Difference]]&lt;&gt;0,"Amount difference","Matched"))</f>
        <v>Matched</v>
      </c>
      <c r="M1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" s="10" t="str">
        <f>IF(tblBank[[#This Row],[Status]]="Matched","",COUNTIF(INDEX(tblBank[Status],1):tblBank[[#This Row],[Status]],"&lt;&gt;Matched"))</f>
        <v/>
      </c>
    </row>
    <row r="13" spans="1:15" x14ac:dyDescent="0.25">
      <c r="A13" s="10" t="s">
        <v>768</v>
      </c>
      <c r="B13" s="6">
        <v>45992</v>
      </c>
      <c r="C13" s="10" t="s">
        <v>769</v>
      </c>
      <c r="D13" s="10" t="s">
        <v>100</v>
      </c>
      <c r="E13" s="11">
        <v>19564.62</v>
      </c>
      <c r="F13" s="10" t="str">
        <f>IF(tblBank[[#This Row],[Reference]]="","",IFERROR(INDEX(tblLedger[Entry],MATCH(tblBank[[#This Row],[Reference]],tblLedger[Reference],0)),""))</f>
        <v>BNK25-01812</v>
      </c>
      <c r="G1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" s="10" t="str">
        <f>IF(tblBank[[#This Row],[RefEntry]]&lt;&gt;"",tblBank[[#This Row],[RefEntry]],tblBank[[#This Row],[AmountEntry]])</f>
        <v>BNK25-01812</v>
      </c>
      <c r="I13" s="10" t="str">
        <f>IF(tblBank[[#This Row],[RefEntry]]&lt;&gt;"","Reference",IF(tblBank[[#This Row],[AmountEntry]]&lt;&gt;"","Amount and date","None"))</f>
        <v>Reference</v>
      </c>
      <c r="J13" s="11">
        <f>IF(tblBank[[#This Row],[MatchedEntry]]="","",INDEX(tblLedger[Amount],MATCH(tblBank[[#This Row],[MatchedEntry]],tblLedger[Entry],0)))</f>
        <v>19564.62</v>
      </c>
      <c r="K13" s="11">
        <f>IF(tblBank[[#This Row],[MatchedEntry]]="",0,ROUND(tblBank[[#This Row],[Amount]]-tblBank[[#This Row],[BookAmount]],2))</f>
        <v>0</v>
      </c>
      <c r="L13" s="10" t="str">
        <f>IF(tblBank[[#This Row],[MatchedEntry]]="","Not in books",IF(tblBank[[#This Row],[Difference]]&lt;&gt;0,"Amount difference","Matched"))</f>
        <v>Matched</v>
      </c>
      <c r="M1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" s="10" t="str">
        <f>IF(tblBank[[#This Row],[Status]]="Matched","",COUNTIF(INDEX(tblBank[Status],1):tblBank[[#This Row],[Status]],"&lt;&gt;Matched"))</f>
        <v/>
      </c>
    </row>
    <row r="14" spans="1:15" x14ac:dyDescent="0.25">
      <c r="A14" s="10" t="s">
        <v>770</v>
      </c>
      <c r="B14" s="6">
        <v>45992</v>
      </c>
      <c r="C14" s="10" t="s">
        <v>771</v>
      </c>
      <c r="D14" s="10" t="s">
        <v>58</v>
      </c>
      <c r="E14" s="11">
        <v>208.31</v>
      </c>
      <c r="F14" s="10" t="str">
        <f>IF(tblBank[[#This Row],[Reference]]="","",IFERROR(INDEX(tblLedger[Entry],MATCH(tblBank[[#This Row],[Reference]],tblLedger[Reference],0)),""))</f>
        <v>BNK25-01798</v>
      </c>
      <c r="G1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" s="10" t="str">
        <f>IF(tblBank[[#This Row],[RefEntry]]&lt;&gt;"",tblBank[[#This Row],[RefEntry]],tblBank[[#This Row],[AmountEntry]])</f>
        <v>BNK25-01798</v>
      </c>
      <c r="I14" s="10" t="str">
        <f>IF(tblBank[[#This Row],[RefEntry]]&lt;&gt;"","Reference",IF(tblBank[[#This Row],[AmountEntry]]&lt;&gt;"","Amount and date","None"))</f>
        <v>Reference</v>
      </c>
      <c r="J14" s="11">
        <f>IF(tblBank[[#This Row],[MatchedEntry]]="","",INDEX(tblLedger[Amount],MATCH(tblBank[[#This Row],[MatchedEntry]],tblLedger[Entry],0)))</f>
        <v>208.31</v>
      </c>
      <c r="K14" s="11">
        <f>IF(tblBank[[#This Row],[MatchedEntry]]="",0,ROUND(tblBank[[#This Row],[Amount]]-tblBank[[#This Row],[BookAmount]],2))</f>
        <v>0</v>
      </c>
      <c r="L14" s="10" t="str">
        <f>IF(tblBank[[#This Row],[MatchedEntry]]="","Not in books",IF(tblBank[[#This Row],[Difference]]&lt;&gt;0,"Amount difference","Matched"))</f>
        <v>Matched</v>
      </c>
      <c r="M1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" s="10" t="str">
        <f>IF(tblBank[[#This Row],[Status]]="Matched","",COUNTIF(INDEX(tblBank[Status],1):tblBank[[#This Row],[Status]],"&lt;&gt;Matched"))</f>
        <v/>
      </c>
    </row>
    <row r="15" spans="1:15" x14ac:dyDescent="0.25">
      <c r="A15" s="10" t="s">
        <v>772</v>
      </c>
      <c r="B15" s="6">
        <v>45992</v>
      </c>
      <c r="C15" s="10" t="s">
        <v>773</v>
      </c>
      <c r="D15" s="10" t="s">
        <v>82</v>
      </c>
      <c r="E15" s="11">
        <v>638.75</v>
      </c>
      <c r="F15" s="10" t="str">
        <f>IF(tblBank[[#This Row],[Reference]]="","",IFERROR(INDEX(tblLedger[Entry],MATCH(tblBank[[#This Row],[Reference]],tblLedger[Reference],0)),""))</f>
        <v>BNK25-01806</v>
      </c>
      <c r="G1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" s="10" t="str">
        <f>IF(tblBank[[#This Row],[RefEntry]]&lt;&gt;"",tblBank[[#This Row],[RefEntry]],tblBank[[#This Row],[AmountEntry]])</f>
        <v>BNK25-01806</v>
      </c>
      <c r="I15" s="10" t="str">
        <f>IF(tblBank[[#This Row],[RefEntry]]&lt;&gt;"","Reference",IF(tblBank[[#This Row],[AmountEntry]]&lt;&gt;"","Amount and date","None"))</f>
        <v>Reference</v>
      </c>
      <c r="J15" s="11">
        <f>IF(tblBank[[#This Row],[MatchedEntry]]="","",INDEX(tblLedger[Amount],MATCH(tblBank[[#This Row],[MatchedEntry]],tblLedger[Entry],0)))</f>
        <v>638.75</v>
      </c>
      <c r="K15" s="11">
        <f>IF(tblBank[[#This Row],[MatchedEntry]]="",0,ROUND(tblBank[[#This Row],[Amount]]-tblBank[[#This Row],[BookAmount]],2))</f>
        <v>0</v>
      </c>
      <c r="L15" s="10" t="str">
        <f>IF(tblBank[[#This Row],[MatchedEntry]]="","Not in books",IF(tblBank[[#This Row],[Difference]]&lt;&gt;0,"Amount difference","Matched"))</f>
        <v>Matched</v>
      </c>
      <c r="M1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" s="10" t="str">
        <f>IF(tblBank[[#This Row],[Status]]="Matched","",COUNTIF(INDEX(tblBank[Status],1):tblBank[[#This Row],[Status]],"&lt;&gt;Matched"))</f>
        <v/>
      </c>
    </row>
    <row r="16" spans="1:15" x14ac:dyDescent="0.25">
      <c r="A16" s="10" t="s">
        <v>774</v>
      </c>
      <c r="B16" s="6">
        <v>45992</v>
      </c>
      <c r="C16" s="10" t="s">
        <v>775</v>
      </c>
      <c r="D16" s="10" t="s">
        <v>88</v>
      </c>
      <c r="E16" s="11">
        <v>214.85</v>
      </c>
      <c r="F16" s="10" t="str">
        <f>IF(tblBank[[#This Row],[Reference]]="","",IFERROR(INDEX(tblLedger[Entry],MATCH(tblBank[[#This Row],[Reference]],tblLedger[Reference],0)),""))</f>
        <v>BNK25-01808</v>
      </c>
      <c r="G1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" s="10" t="str">
        <f>IF(tblBank[[#This Row],[RefEntry]]&lt;&gt;"",tblBank[[#This Row],[RefEntry]],tblBank[[#This Row],[AmountEntry]])</f>
        <v>BNK25-01808</v>
      </c>
      <c r="I16" s="10" t="str">
        <f>IF(tblBank[[#This Row],[RefEntry]]&lt;&gt;"","Reference",IF(tblBank[[#This Row],[AmountEntry]]&lt;&gt;"","Amount and date","None"))</f>
        <v>Reference</v>
      </c>
      <c r="J16" s="11">
        <f>IF(tblBank[[#This Row],[MatchedEntry]]="","",INDEX(tblLedger[Amount],MATCH(tblBank[[#This Row],[MatchedEntry]],tblLedger[Entry],0)))</f>
        <v>214.85</v>
      </c>
      <c r="K16" s="11">
        <f>IF(tblBank[[#This Row],[MatchedEntry]]="",0,ROUND(tblBank[[#This Row],[Amount]]-tblBank[[#This Row],[BookAmount]],2))</f>
        <v>0</v>
      </c>
      <c r="L16" s="10" t="str">
        <f>IF(tblBank[[#This Row],[MatchedEntry]]="","Not in books",IF(tblBank[[#This Row],[Difference]]&lt;&gt;0,"Amount difference","Matched"))</f>
        <v>Matched</v>
      </c>
      <c r="M1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" s="10" t="str">
        <f>IF(tblBank[[#This Row],[Status]]="Matched","",COUNTIF(INDEX(tblBank[Status],1):tblBank[[#This Row],[Status]],"&lt;&gt;Matched"))</f>
        <v/>
      </c>
    </row>
    <row r="17" spans="1:15" x14ac:dyDescent="0.25">
      <c r="A17" s="10" t="s">
        <v>776</v>
      </c>
      <c r="B17" s="6">
        <v>45992</v>
      </c>
      <c r="C17" s="10" t="s">
        <v>777</v>
      </c>
      <c r="D17" s="10" t="s">
        <v>109</v>
      </c>
      <c r="E17" s="11">
        <v>298.02999999999997</v>
      </c>
      <c r="F17" s="10" t="str">
        <f>IF(tblBank[[#This Row],[Reference]]="","",IFERROR(INDEX(tblLedger[Entry],MATCH(tblBank[[#This Row],[Reference]],tblLedger[Reference],0)),""))</f>
        <v>BNK25-01815</v>
      </c>
      <c r="G1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" s="10" t="str">
        <f>IF(tblBank[[#This Row],[RefEntry]]&lt;&gt;"",tblBank[[#This Row],[RefEntry]],tblBank[[#This Row],[AmountEntry]])</f>
        <v>BNK25-01815</v>
      </c>
      <c r="I17" s="10" t="str">
        <f>IF(tblBank[[#This Row],[RefEntry]]&lt;&gt;"","Reference",IF(tblBank[[#This Row],[AmountEntry]]&lt;&gt;"","Amount and date","None"))</f>
        <v>Reference</v>
      </c>
      <c r="J17" s="11">
        <f>IF(tblBank[[#This Row],[MatchedEntry]]="","",INDEX(tblLedger[Amount],MATCH(tblBank[[#This Row],[MatchedEntry]],tblLedger[Entry],0)))</f>
        <v>298.02999999999997</v>
      </c>
      <c r="K17" s="11">
        <f>IF(tblBank[[#This Row],[MatchedEntry]]="",0,ROUND(tblBank[[#This Row],[Amount]]-tblBank[[#This Row],[BookAmount]],2))</f>
        <v>0</v>
      </c>
      <c r="L17" s="10" t="str">
        <f>IF(tblBank[[#This Row],[MatchedEntry]]="","Not in books",IF(tblBank[[#This Row],[Difference]]&lt;&gt;0,"Amount difference","Matched"))</f>
        <v>Matched</v>
      </c>
      <c r="M1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" s="10" t="str">
        <f>IF(tblBank[[#This Row],[Status]]="Matched","",COUNTIF(INDEX(tblBank[Status],1):tblBank[[#This Row],[Status]],"&lt;&gt;Matched"))</f>
        <v/>
      </c>
    </row>
    <row r="18" spans="1:15" x14ac:dyDescent="0.25">
      <c r="A18" s="10" t="s">
        <v>778</v>
      </c>
      <c r="B18" s="6">
        <v>45992</v>
      </c>
      <c r="C18" s="10" t="s">
        <v>779</v>
      </c>
      <c r="D18" s="10" t="s">
        <v>106</v>
      </c>
      <c r="E18" s="11">
        <v>895.82</v>
      </c>
      <c r="F18" s="10" t="str">
        <f>IF(tblBank[[#This Row],[Reference]]="","",IFERROR(INDEX(tblLedger[Entry],MATCH(tblBank[[#This Row],[Reference]],tblLedger[Reference],0)),""))</f>
        <v>BNK25-01814</v>
      </c>
      <c r="G1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" s="10" t="str">
        <f>IF(tblBank[[#This Row],[RefEntry]]&lt;&gt;"",tblBank[[#This Row],[RefEntry]],tblBank[[#This Row],[AmountEntry]])</f>
        <v>BNK25-01814</v>
      </c>
      <c r="I18" s="10" t="str">
        <f>IF(tblBank[[#This Row],[RefEntry]]&lt;&gt;"","Reference",IF(tblBank[[#This Row],[AmountEntry]]&lt;&gt;"","Amount and date","None"))</f>
        <v>Reference</v>
      </c>
      <c r="J18" s="11">
        <f>IF(tblBank[[#This Row],[MatchedEntry]]="","",INDEX(tblLedger[Amount],MATCH(tblBank[[#This Row],[MatchedEntry]],tblLedger[Entry],0)))</f>
        <v>895.82</v>
      </c>
      <c r="K18" s="11">
        <f>IF(tblBank[[#This Row],[MatchedEntry]]="",0,ROUND(tblBank[[#This Row],[Amount]]-tblBank[[#This Row],[BookAmount]],2))</f>
        <v>0</v>
      </c>
      <c r="L18" s="10" t="str">
        <f>IF(tblBank[[#This Row],[MatchedEntry]]="","Not in books",IF(tblBank[[#This Row],[Difference]]&lt;&gt;0,"Amount difference","Matched"))</f>
        <v>Matched</v>
      </c>
      <c r="M1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" s="10" t="str">
        <f>IF(tblBank[[#This Row],[Status]]="Matched","",COUNTIF(INDEX(tblBank[Status],1):tblBank[[#This Row],[Status]],"&lt;&gt;Matched"))</f>
        <v/>
      </c>
    </row>
    <row r="19" spans="1:15" x14ac:dyDescent="0.25">
      <c r="A19" s="10" t="s">
        <v>780</v>
      </c>
      <c r="B19" s="6">
        <v>45992</v>
      </c>
      <c r="C19" s="10" t="s">
        <v>781</v>
      </c>
      <c r="D19" s="10" t="s">
        <v>103</v>
      </c>
      <c r="E19" s="11">
        <v>4248.97</v>
      </c>
      <c r="F19" s="10" t="str">
        <f>IF(tblBank[[#This Row],[Reference]]="","",IFERROR(INDEX(tblLedger[Entry],MATCH(tblBank[[#This Row],[Reference]],tblLedger[Reference],0)),""))</f>
        <v>BNK25-01813</v>
      </c>
      <c r="G1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" s="10" t="str">
        <f>IF(tblBank[[#This Row],[RefEntry]]&lt;&gt;"",tblBank[[#This Row],[RefEntry]],tblBank[[#This Row],[AmountEntry]])</f>
        <v>BNK25-01813</v>
      </c>
      <c r="I19" s="10" t="str">
        <f>IF(tblBank[[#This Row],[RefEntry]]&lt;&gt;"","Reference",IF(tblBank[[#This Row],[AmountEntry]]&lt;&gt;"","Amount and date","None"))</f>
        <v>Reference</v>
      </c>
      <c r="J19" s="11">
        <f>IF(tblBank[[#This Row],[MatchedEntry]]="","",INDEX(tblLedger[Amount],MATCH(tblBank[[#This Row],[MatchedEntry]],tblLedger[Entry],0)))</f>
        <v>4248.97</v>
      </c>
      <c r="K19" s="11">
        <f>IF(tblBank[[#This Row],[MatchedEntry]]="",0,ROUND(tblBank[[#This Row],[Amount]]-tblBank[[#This Row],[BookAmount]],2))</f>
        <v>0</v>
      </c>
      <c r="L19" s="10" t="str">
        <f>IF(tblBank[[#This Row],[MatchedEntry]]="","Not in books",IF(tblBank[[#This Row],[Difference]]&lt;&gt;0,"Amount difference","Matched"))</f>
        <v>Matched</v>
      </c>
      <c r="M1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" s="10" t="str">
        <f>IF(tblBank[[#This Row],[Status]]="Matched","",COUNTIF(INDEX(tblBank[Status],1):tblBank[[#This Row],[Status]],"&lt;&gt;Matched"))</f>
        <v/>
      </c>
    </row>
    <row r="20" spans="1:15" x14ac:dyDescent="0.25">
      <c r="A20" s="10" t="s">
        <v>782</v>
      </c>
      <c r="B20" s="6">
        <v>45992</v>
      </c>
      <c r="C20" s="10" t="s">
        <v>783</v>
      </c>
      <c r="D20" s="10" t="s">
        <v>112</v>
      </c>
      <c r="E20" s="11">
        <v>7031.69</v>
      </c>
      <c r="F20" s="10" t="str">
        <f>IF(tblBank[[#This Row],[Reference]]="","",IFERROR(INDEX(tblLedger[Entry],MATCH(tblBank[[#This Row],[Reference]],tblLedger[Reference],0)),""))</f>
        <v>BNK25-01816</v>
      </c>
      <c r="G2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" s="10" t="str">
        <f>IF(tblBank[[#This Row],[RefEntry]]&lt;&gt;"",tblBank[[#This Row],[RefEntry]],tblBank[[#This Row],[AmountEntry]])</f>
        <v>BNK25-01816</v>
      </c>
      <c r="I20" s="10" t="str">
        <f>IF(tblBank[[#This Row],[RefEntry]]&lt;&gt;"","Reference",IF(tblBank[[#This Row],[AmountEntry]]&lt;&gt;"","Amount and date","None"))</f>
        <v>Reference</v>
      </c>
      <c r="J20" s="11">
        <f>IF(tblBank[[#This Row],[MatchedEntry]]="","",INDEX(tblLedger[Amount],MATCH(tblBank[[#This Row],[MatchedEntry]],tblLedger[Entry],0)))</f>
        <v>7031.69</v>
      </c>
      <c r="K20" s="11">
        <f>IF(tblBank[[#This Row],[MatchedEntry]]="",0,ROUND(tblBank[[#This Row],[Amount]]-tblBank[[#This Row],[BookAmount]],2))</f>
        <v>0</v>
      </c>
      <c r="L20" s="10" t="str">
        <f>IF(tblBank[[#This Row],[MatchedEntry]]="","Not in books",IF(tblBank[[#This Row],[Difference]]&lt;&gt;0,"Amount difference","Matched"))</f>
        <v>Matched</v>
      </c>
      <c r="M2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" s="10" t="str">
        <f>IF(tblBank[[#This Row],[Status]]="Matched","",COUNTIF(INDEX(tblBank[Status],1):tblBank[[#This Row],[Status]],"&lt;&gt;Matched"))</f>
        <v/>
      </c>
    </row>
    <row r="21" spans="1:15" x14ac:dyDescent="0.25">
      <c r="A21" s="10" t="s">
        <v>784</v>
      </c>
      <c r="B21" s="6">
        <v>45992</v>
      </c>
      <c r="C21" s="10" t="s">
        <v>785</v>
      </c>
      <c r="D21" s="10" t="s">
        <v>79</v>
      </c>
      <c r="E21" s="11">
        <v>248.1</v>
      </c>
      <c r="F21" s="10" t="str">
        <f>IF(tblBank[[#This Row],[Reference]]="","",IFERROR(INDEX(tblLedger[Entry],MATCH(tblBank[[#This Row],[Reference]],tblLedger[Reference],0)),""))</f>
        <v>BNK25-01805</v>
      </c>
      <c r="G2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" s="10" t="str">
        <f>IF(tblBank[[#This Row],[RefEntry]]&lt;&gt;"",tblBank[[#This Row],[RefEntry]],tblBank[[#This Row],[AmountEntry]])</f>
        <v>BNK25-01805</v>
      </c>
      <c r="I21" s="10" t="str">
        <f>IF(tblBank[[#This Row],[RefEntry]]&lt;&gt;"","Reference",IF(tblBank[[#This Row],[AmountEntry]]&lt;&gt;"","Amount and date","None"))</f>
        <v>Reference</v>
      </c>
      <c r="J21" s="11">
        <f>IF(tblBank[[#This Row],[MatchedEntry]]="","",INDEX(tblLedger[Amount],MATCH(tblBank[[#This Row],[MatchedEntry]],tblLedger[Entry],0)))</f>
        <v>248.1</v>
      </c>
      <c r="K21" s="11">
        <f>IF(tblBank[[#This Row],[MatchedEntry]]="",0,ROUND(tblBank[[#This Row],[Amount]]-tblBank[[#This Row],[BookAmount]],2))</f>
        <v>0</v>
      </c>
      <c r="L21" s="10" t="str">
        <f>IF(tblBank[[#This Row],[MatchedEntry]]="","Not in books",IF(tblBank[[#This Row],[Difference]]&lt;&gt;0,"Amount difference","Matched"))</f>
        <v>Matched</v>
      </c>
      <c r="M2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" s="10" t="str">
        <f>IF(tblBank[[#This Row],[Status]]="Matched","",COUNTIF(INDEX(tblBank[Status],1):tblBank[[#This Row],[Status]],"&lt;&gt;Matched"))</f>
        <v/>
      </c>
    </row>
    <row r="22" spans="1:15" x14ac:dyDescent="0.25">
      <c r="A22" s="10" t="s">
        <v>786</v>
      </c>
      <c r="B22" s="6">
        <v>45993</v>
      </c>
      <c r="C22" s="10" t="s">
        <v>787</v>
      </c>
      <c r="D22" s="10" t="s">
        <v>121</v>
      </c>
      <c r="E22" s="11">
        <v>-203.46</v>
      </c>
      <c r="F22" s="10" t="str">
        <f>IF(tblBank[[#This Row],[Reference]]="","",IFERROR(INDEX(tblLedger[Entry],MATCH(tblBank[[#This Row],[Reference]],tblLedger[Reference],0)),""))</f>
        <v>BNK25-01819</v>
      </c>
      <c r="G2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" s="10" t="str">
        <f>IF(tblBank[[#This Row],[RefEntry]]&lt;&gt;"",tblBank[[#This Row],[RefEntry]],tblBank[[#This Row],[AmountEntry]])</f>
        <v>BNK25-01819</v>
      </c>
      <c r="I22" s="10" t="str">
        <f>IF(tblBank[[#This Row],[RefEntry]]&lt;&gt;"","Reference",IF(tblBank[[#This Row],[AmountEntry]]&lt;&gt;"","Amount and date","None"))</f>
        <v>Reference</v>
      </c>
      <c r="J22" s="11">
        <f>IF(tblBank[[#This Row],[MatchedEntry]]="","",INDEX(tblLedger[Amount],MATCH(tblBank[[#This Row],[MatchedEntry]],tblLedger[Entry],0)))</f>
        <v>-203.46</v>
      </c>
      <c r="K22" s="11">
        <f>IF(tblBank[[#This Row],[MatchedEntry]]="",0,ROUND(tblBank[[#This Row],[Amount]]-tblBank[[#This Row],[BookAmount]],2))</f>
        <v>0</v>
      </c>
      <c r="L22" s="10" t="str">
        <f>IF(tblBank[[#This Row],[MatchedEntry]]="","Not in books",IF(tblBank[[#This Row],[Difference]]&lt;&gt;0,"Amount difference","Matched"))</f>
        <v>Matched</v>
      </c>
      <c r="M2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" s="10" t="str">
        <f>IF(tblBank[[#This Row],[Status]]="Matched","",COUNTIF(INDEX(tblBank[Status],1):tblBank[[#This Row],[Status]],"&lt;&gt;Matched"))</f>
        <v/>
      </c>
    </row>
    <row r="23" spans="1:15" x14ac:dyDescent="0.25">
      <c r="A23" s="10" t="s">
        <v>788</v>
      </c>
      <c r="B23" s="6">
        <v>45993</v>
      </c>
      <c r="C23" s="10" t="s">
        <v>789</v>
      </c>
      <c r="D23" s="10" t="s">
        <v>67</v>
      </c>
      <c r="E23" s="11">
        <v>-217.49</v>
      </c>
      <c r="F23" s="10" t="str">
        <f>IF(tblBank[[#This Row],[Reference]]="","",IFERROR(INDEX(tblLedger[Entry],MATCH(tblBank[[#This Row],[Reference]],tblLedger[Reference],0)),""))</f>
        <v>BNK25-01801</v>
      </c>
      <c r="G2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3" s="10" t="str">
        <f>IF(tblBank[[#This Row],[RefEntry]]&lt;&gt;"",tblBank[[#This Row],[RefEntry]],tblBank[[#This Row],[AmountEntry]])</f>
        <v>BNK25-01801</v>
      </c>
      <c r="I23" s="10" t="str">
        <f>IF(tblBank[[#This Row],[RefEntry]]&lt;&gt;"","Reference",IF(tblBank[[#This Row],[AmountEntry]]&lt;&gt;"","Amount and date","None"))</f>
        <v>Reference</v>
      </c>
      <c r="J23" s="11">
        <f>IF(tblBank[[#This Row],[MatchedEntry]]="","",INDEX(tblLedger[Amount],MATCH(tblBank[[#This Row],[MatchedEntry]],tblLedger[Entry],0)))</f>
        <v>-217.49</v>
      </c>
      <c r="K23" s="11">
        <f>IF(tblBank[[#This Row],[MatchedEntry]]="",0,ROUND(tblBank[[#This Row],[Amount]]-tblBank[[#This Row],[BookAmount]],2))</f>
        <v>0</v>
      </c>
      <c r="L23" s="10" t="str">
        <f>IF(tblBank[[#This Row],[MatchedEntry]]="","Not in books",IF(tblBank[[#This Row],[Difference]]&lt;&gt;0,"Amount difference","Matched"))</f>
        <v>Matched</v>
      </c>
      <c r="M2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3" s="10" t="str">
        <f>IF(tblBank[[#This Row],[Status]]="Matched","",COUNTIF(INDEX(tblBank[Status],1):tblBank[[#This Row],[Status]],"&lt;&gt;Matched"))</f>
        <v/>
      </c>
    </row>
    <row r="24" spans="1:15" x14ac:dyDescent="0.25">
      <c r="A24" s="10" t="s">
        <v>790</v>
      </c>
      <c r="B24" s="6">
        <v>45993</v>
      </c>
      <c r="C24" s="10" t="s">
        <v>791</v>
      </c>
      <c r="D24" s="10" t="s">
        <v>127</v>
      </c>
      <c r="E24" s="11">
        <v>253.92</v>
      </c>
      <c r="F24" s="10" t="str">
        <f>IF(tblBank[[#This Row],[Reference]]="","",IFERROR(INDEX(tblLedger[Entry],MATCH(tblBank[[#This Row],[Reference]],tblLedger[Reference],0)),""))</f>
        <v>BNK25-01821</v>
      </c>
      <c r="G2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4" s="10" t="str">
        <f>IF(tblBank[[#This Row],[RefEntry]]&lt;&gt;"",tblBank[[#This Row],[RefEntry]],tblBank[[#This Row],[AmountEntry]])</f>
        <v>BNK25-01821</v>
      </c>
      <c r="I24" s="10" t="str">
        <f>IF(tblBank[[#This Row],[RefEntry]]&lt;&gt;"","Reference",IF(tblBank[[#This Row],[AmountEntry]]&lt;&gt;"","Amount and date","None"))</f>
        <v>Reference</v>
      </c>
      <c r="J24" s="11">
        <f>IF(tblBank[[#This Row],[MatchedEntry]]="","",INDEX(tblLedger[Amount],MATCH(tblBank[[#This Row],[MatchedEntry]],tblLedger[Entry],0)))</f>
        <v>253.92</v>
      </c>
      <c r="K24" s="11">
        <f>IF(tblBank[[#This Row],[MatchedEntry]]="",0,ROUND(tblBank[[#This Row],[Amount]]-tblBank[[#This Row],[BookAmount]],2))</f>
        <v>0</v>
      </c>
      <c r="L24" s="10" t="str">
        <f>IF(tblBank[[#This Row],[MatchedEntry]]="","Not in books",IF(tblBank[[#This Row],[Difference]]&lt;&gt;0,"Amount difference","Matched"))</f>
        <v>Matched</v>
      </c>
      <c r="M2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4" s="10" t="str">
        <f>IF(tblBank[[#This Row],[Status]]="Matched","",COUNTIF(INDEX(tblBank[Status],1):tblBank[[#This Row],[Status]],"&lt;&gt;Matched"))</f>
        <v/>
      </c>
    </row>
    <row r="25" spans="1:15" x14ac:dyDescent="0.25">
      <c r="A25" s="10" t="s">
        <v>792</v>
      </c>
      <c r="B25" s="6">
        <v>45993</v>
      </c>
      <c r="C25" s="10" t="s">
        <v>793</v>
      </c>
      <c r="D25" s="10" t="s">
        <v>118</v>
      </c>
      <c r="E25" s="11">
        <v>812.03</v>
      </c>
      <c r="F25" s="10" t="str">
        <f>IF(tblBank[[#This Row],[Reference]]="","",IFERROR(INDEX(tblLedger[Entry],MATCH(tblBank[[#This Row],[Reference]],tblLedger[Reference],0)),""))</f>
        <v>BNK25-01818</v>
      </c>
      <c r="G2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5" s="10" t="str">
        <f>IF(tblBank[[#This Row],[RefEntry]]&lt;&gt;"",tblBank[[#This Row],[RefEntry]],tblBank[[#This Row],[AmountEntry]])</f>
        <v>BNK25-01818</v>
      </c>
      <c r="I25" s="10" t="str">
        <f>IF(tblBank[[#This Row],[RefEntry]]&lt;&gt;"","Reference",IF(tblBank[[#This Row],[AmountEntry]]&lt;&gt;"","Amount and date","None"))</f>
        <v>Reference</v>
      </c>
      <c r="J25" s="11">
        <f>IF(tblBank[[#This Row],[MatchedEntry]]="","",INDEX(tblLedger[Amount],MATCH(tblBank[[#This Row],[MatchedEntry]],tblLedger[Entry],0)))</f>
        <v>812.03</v>
      </c>
      <c r="K25" s="11">
        <f>IF(tblBank[[#This Row],[MatchedEntry]]="",0,ROUND(tblBank[[#This Row],[Amount]]-tblBank[[#This Row],[BookAmount]],2))</f>
        <v>0</v>
      </c>
      <c r="L25" s="10" t="str">
        <f>IF(tblBank[[#This Row],[MatchedEntry]]="","Not in books",IF(tblBank[[#This Row],[Difference]]&lt;&gt;0,"Amount difference","Matched"))</f>
        <v>Matched</v>
      </c>
      <c r="M2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5" s="10" t="str">
        <f>IF(tblBank[[#This Row],[Status]]="Matched","",COUNTIF(INDEX(tblBank[Status],1):tblBank[[#This Row],[Status]],"&lt;&gt;Matched"))</f>
        <v/>
      </c>
    </row>
    <row r="26" spans="1:15" x14ac:dyDescent="0.25">
      <c r="A26" s="10" t="s">
        <v>794</v>
      </c>
      <c r="B26" s="6">
        <v>45993</v>
      </c>
      <c r="C26" s="10" t="s">
        <v>795</v>
      </c>
      <c r="D26" s="10" t="s">
        <v>124</v>
      </c>
      <c r="E26" s="11">
        <v>1113.67</v>
      </c>
      <c r="F26" s="10" t="str">
        <f>IF(tblBank[[#This Row],[Reference]]="","",IFERROR(INDEX(tblLedger[Entry],MATCH(tblBank[[#This Row],[Reference]],tblLedger[Reference],0)),""))</f>
        <v>BNK25-01820</v>
      </c>
      <c r="G2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6" s="10" t="str">
        <f>IF(tblBank[[#This Row],[RefEntry]]&lt;&gt;"",tblBank[[#This Row],[RefEntry]],tblBank[[#This Row],[AmountEntry]])</f>
        <v>BNK25-01820</v>
      </c>
      <c r="I26" s="10" t="str">
        <f>IF(tblBank[[#This Row],[RefEntry]]&lt;&gt;"","Reference",IF(tblBank[[#This Row],[AmountEntry]]&lt;&gt;"","Amount and date","None"))</f>
        <v>Reference</v>
      </c>
      <c r="J26" s="11">
        <f>IF(tblBank[[#This Row],[MatchedEntry]]="","",INDEX(tblLedger[Amount],MATCH(tblBank[[#This Row],[MatchedEntry]],tblLedger[Entry],0)))</f>
        <v>1113.67</v>
      </c>
      <c r="K26" s="11">
        <f>IF(tblBank[[#This Row],[MatchedEntry]]="",0,ROUND(tblBank[[#This Row],[Amount]]-tblBank[[#This Row],[BookAmount]],2))</f>
        <v>0</v>
      </c>
      <c r="L26" s="10" t="str">
        <f>IF(tblBank[[#This Row],[MatchedEntry]]="","Not in books",IF(tblBank[[#This Row],[Difference]]&lt;&gt;0,"Amount difference","Matched"))</f>
        <v>Matched</v>
      </c>
      <c r="M2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6" s="10" t="str">
        <f>IF(tblBank[[#This Row],[Status]]="Matched","",COUNTIF(INDEX(tblBank[Status],1):tblBank[[#This Row],[Status]],"&lt;&gt;Matched"))</f>
        <v/>
      </c>
    </row>
    <row r="27" spans="1:15" x14ac:dyDescent="0.25">
      <c r="A27" s="10" t="s">
        <v>796</v>
      </c>
      <c r="B27" s="6">
        <v>45994</v>
      </c>
      <c r="C27" s="10" t="s">
        <v>797</v>
      </c>
      <c r="D27" s="10" t="s">
        <v>148</v>
      </c>
      <c r="E27" s="11">
        <v>-1604.46</v>
      </c>
      <c r="F27" s="10" t="str">
        <f>IF(tblBank[[#This Row],[Reference]]="","",IFERROR(INDEX(tblLedger[Entry],MATCH(tblBank[[#This Row],[Reference]],tblLedger[Reference],0)),""))</f>
        <v>BNK25-01828</v>
      </c>
      <c r="G2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7" s="10" t="str">
        <f>IF(tblBank[[#This Row],[RefEntry]]&lt;&gt;"",tblBank[[#This Row],[RefEntry]],tblBank[[#This Row],[AmountEntry]])</f>
        <v>BNK25-01828</v>
      </c>
      <c r="I27" s="10" t="str">
        <f>IF(tblBank[[#This Row],[RefEntry]]&lt;&gt;"","Reference",IF(tblBank[[#This Row],[AmountEntry]]&lt;&gt;"","Amount and date","None"))</f>
        <v>Reference</v>
      </c>
      <c r="J27" s="11">
        <f>IF(tblBank[[#This Row],[MatchedEntry]]="","",INDEX(tblLedger[Amount],MATCH(tblBank[[#This Row],[MatchedEntry]],tblLedger[Entry],0)))</f>
        <v>-1604.46</v>
      </c>
      <c r="K27" s="11">
        <f>IF(tblBank[[#This Row],[MatchedEntry]]="",0,ROUND(tblBank[[#This Row],[Amount]]-tblBank[[#This Row],[BookAmount]],2))</f>
        <v>0</v>
      </c>
      <c r="L27" s="10" t="str">
        <f>IF(tblBank[[#This Row],[MatchedEntry]]="","Not in books",IF(tblBank[[#This Row],[Difference]]&lt;&gt;0,"Amount difference","Matched"))</f>
        <v>Matched</v>
      </c>
      <c r="M2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7" s="10" t="str">
        <f>IF(tblBank[[#This Row],[Status]]="Matched","",COUNTIF(INDEX(tblBank[Status],1):tblBank[[#This Row],[Status]],"&lt;&gt;Matched"))</f>
        <v/>
      </c>
    </row>
    <row r="28" spans="1:15" x14ac:dyDescent="0.25">
      <c r="A28" s="10" t="s">
        <v>798</v>
      </c>
      <c r="B28" s="6">
        <v>45994</v>
      </c>
      <c r="C28" s="10" t="s">
        <v>799</v>
      </c>
      <c r="D28" s="10" t="s">
        <v>49</v>
      </c>
      <c r="E28" s="11">
        <v>-429.13</v>
      </c>
      <c r="F28" s="10" t="str">
        <f>IF(tblBank[[#This Row],[Reference]]="","",IFERROR(INDEX(tblLedger[Entry],MATCH(tblBank[[#This Row],[Reference]],tblLedger[Reference],0)),""))</f>
        <v>BNK25-01795</v>
      </c>
      <c r="G2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8" s="10" t="str">
        <f>IF(tblBank[[#This Row],[RefEntry]]&lt;&gt;"",tblBank[[#This Row],[RefEntry]],tblBank[[#This Row],[AmountEntry]])</f>
        <v>BNK25-01795</v>
      </c>
      <c r="I28" s="10" t="str">
        <f>IF(tblBank[[#This Row],[RefEntry]]&lt;&gt;"","Reference",IF(tblBank[[#This Row],[AmountEntry]]&lt;&gt;"","Amount and date","None"))</f>
        <v>Reference</v>
      </c>
      <c r="J28" s="11">
        <f>IF(tblBank[[#This Row],[MatchedEntry]]="","",INDEX(tblLedger[Amount],MATCH(tblBank[[#This Row],[MatchedEntry]],tblLedger[Entry],0)))</f>
        <v>-429.13</v>
      </c>
      <c r="K28" s="11">
        <f>IF(tblBank[[#This Row],[MatchedEntry]]="",0,ROUND(tblBank[[#This Row],[Amount]]-tblBank[[#This Row],[BookAmount]],2))</f>
        <v>0</v>
      </c>
      <c r="L28" s="10" t="str">
        <f>IF(tblBank[[#This Row],[MatchedEntry]]="","Not in books",IF(tblBank[[#This Row],[Difference]]&lt;&gt;0,"Amount difference","Matched"))</f>
        <v>Matched</v>
      </c>
      <c r="M2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8" s="10" t="str">
        <f>IF(tblBank[[#This Row],[Status]]="Matched","",COUNTIF(INDEX(tblBank[Status],1):tblBank[[#This Row],[Status]],"&lt;&gt;Matched"))</f>
        <v/>
      </c>
    </row>
    <row r="29" spans="1:15" x14ac:dyDescent="0.25">
      <c r="A29" s="10" t="s">
        <v>800</v>
      </c>
      <c r="B29" s="6">
        <v>45994</v>
      </c>
      <c r="C29" s="10" t="s">
        <v>801</v>
      </c>
      <c r="D29" s="10" t="s">
        <v>115</v>
      </c>
      <c r="E29" s="11">
        <v>-2908.79</v>
      </c>
      <c r="F29" s="10" t="str">
        <f>IF(tblBank[[#This Row],[Reference]]="","",IFERROR(INDEX(tblLedger[Entry],MATCH(tblBank[[#This Row],[Reference]],tblLedger[Reference],0)),""))</f>
        <v>BNK25-01817</v>
      </c>
      <c r="G2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9" s="10" t="str">
        <f>IF(tblBank[[#This Row],[RefEntry]]&lt;&gt;"",tblBank[[#This Row],[RefEntry]],tblBank[[#This Row],[AmountEntry]])</f>
        <v>BNK25-01817</v>
      </c>
      <c r="I29" s="10" t="str">
        <f>IF(tblBank[[#This Row],[RefEntry]]&lt;&gt;"","Reference",IF(tblBank[[#This Row],[AmountEntry]]&lt;&gt;"","Amount and date","None"))</f>
        <v>Reference</v>
      </c>
      <c r="J29" s="11">
        <f>IF(tblBank[[#This Row],[MatchedEntry]]="","",INDEX(tblLedger[Amount],MATCH(tblBank[[#This Row],[MatchedEntry]],tblLedger[Entry],0)))</f>
        <v>-2098.79</v>
      </c>
      <c r="K29" s="11">
        <f>IF(tblBank[[#This Row],[MatchedEntry]]="",0,ROUND(tblBank[[#This Row],[Amount]]-tblBank[[#This Row],[BookAmount]],2))</f>
        <v>-810</v>
      </c>
      <c r="L29" s="10" t="str">
        <f>IF(tblBank[[#This Row],[MatchedEntry]]="","Not in books",IF(tblBank[[#This Row],[Difference]]&lt;&gt;0,"Amount difference","Matched"))</f>
        <v>Amount difference</v>
      </c>
      <c r="M2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Amount difference</v>
      </c>
      <c r="N2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Check the invoice: the bank and the ledger show different amounts</v>
      </c>
      <c r="O29" s="10">
        <f>IF(tblBank[[#This Row],[Status]]="Matched","",COUNTIF(INDEX(tblBank[Status],1):tblBank[[#This Row],[Status]],"&lt;&gt;Matched"))</f>
        <v>1</v>
      </c>
    </row>
    <row r="30" spans="1:15" x14ac:dyDescent="0.25">
      <c r="A30" s="10" t="s">
        <v>802</v>
      </c>
      <c r="B30" s="6">
        <v>45994</v>
      </c>
      <c r="C30" s="10" t="s">
        <v>803</v>
      </c>
      <c r="D30" s="10" t="s">
        <v>130</v>
      </c>
      <c r="E30" s="11">
        <v>-909.95</v>
      </c>
      <c r="F30" s="10" t="str">
        <f>IF(tblBank[[#This Row],[Reference]]="","",IFERROR(INDEX(tblLedger[Entry],MATCH(tblBank[[#This Row],[Reference]],tblLedger[Reference],0)),""))</f>
        <v>BNK25-01822</v>
      </c>
      <c r="G3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0" s="10" t="str">
        <f>IF(tblBank[[#This Row],[RefEntry]]&lt;&gt;"",tblBank[[#This Row],[RefEntry]],tblBank[[#This Row],[AmountEntry]])</f>
        <v>BNK25-01822</v>
      </c>
      <c r="I30" s="10" t="str">
        <f>IF(tblBank[[#This Row],[RefEntry]]&lt;&gt;"","Reference",IF(tblBank[[#This Row],[AmountEntry]]&lt;&gt;"","Amount and date","None"))</f>
        <v>Reference</v>
      </c>
      <c r="J30" s="11">
        <f>IF(tblBank[[#This Row],[MatchedEntry]]="","",INDEX(tblLedger[Amount],MATCH(tblBank[[#This Row],[MatchedEntry]],tblLedger[Entry],0)))</f>
        <v>-909.95</v>
      </c>
      <c r="K30" s="11">
        <f>IF(tblBank[[#This Row],[MatchedEntry]]="",0,ROUND(tblBank[[#This Row],[Amount]]-tblBank[[#This Row],[BookAmount]],2))</f>
        <v>0</v>
      </c>
      <c r="L30" s="10" t="str">
        <f>IF(tblBank[[#This Row],[MatchedEntry]]="","Not in books",IF(tblBank[[#This Row],[Difference]]&lt;&gt;0,"Amount difference","Matched"))</f>
        <v>Matched</v>
      </c>
      <c r="M3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0" s="10" t="str">
        <f>IF(tblBank[[#This Row],[Status]]="Matched","",COUNTIF(INDEX(tblBank[Status],1):tblBank[[#This Row],[Status]],"&lt;&gt;Matched"))</f>
        <v/>
      </c>
    </row>
    <row r="31" spans="1:15" x14ac:dyDescent="0.25">
      <c r="A31" s="10" t="s">
        <v>804</v>
      </c>
      <c r="B31" s="6">
        <v>45994</v>
      </c>
      <c r="C31" s="10" t="s">
        <v>805</v>
      </c>
      <c r="D31" s="10" t="s">
        <v>806</v>
      </c>
      <c r="E31" s="11">
        <v>2855.74</v>
      </c>
      <c r="F31" s="10" t="str">
        <f>IF(tblBank[[#This Row],[Reference]]="","",IFERROR(INDEX(tblLedger[Entry],MATCH(tblBank[[#This Row],[Reference]],tblLedger[Reference],0)),""))</f>
        <v/>
      </c>
      <c r="G3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BNK25-01824</v>
      </c>
      <c r="H31" s="10" t="str">
        <f>IF(tblBank[[#This Row],[RefEntry]]&lt;&gt;"",tblBank[[#This Row],[RefEntry]],tblBank[[#This Row],[AmountEntry]])</f>
        <v>BNK25-01824</v>
      </c>
      <c r="I31" s="10" t="str">
        <f>IF(tblBank[[#This Row],[RefEntry]]&lt;&gt;"","Reference",IF(tblBank[[#This Row],[AmountEntry]]&lt;&gt;"","Amount and date","None"))</f>
        <v>Amount and date</v>
      </c>
      <c r="J31" s="11">
        <f>IF(tblBank[[#This Row],[MatchedEntry]]="","",INDEX(tblLedger[Amount],MATCH(tblBank[[#This Row],[MatchedEntry]],tblLedger[Entry],0)))</f>
        <v>2855.74</v>
      </c>
      <c r="K31" s="11">
        <f>IF(tblBank[[#This Row],[MatchedEntry]]="",0,ROUND(tblBank[[#This Row],[Amount]]-tblBank[[#This Row],[BookAmount]],2))</f>
        <v>0</v>
      </c>
      <c r="L31" s="10" t="str">
        <f>IF(tblBank[[#This Row],[MatchedEntry]]="","Not in books",IF(tblBank[[#This Row],[Difference]]&lt;&gt;0,"Amount difference","Matched"))</f>
        <v>Matched</v>
      </c>
      <c r="M3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1" s="10" t="str">
        <f>IF(tblBank[[#This Row],[Status]]="Matched","",COUNTIF(INDEX(tblBank[Status],1):tblBank[[#This Row],[Status]],"&lt;&gt;Matched"))</f>
        <v/>
      </c>
    </row>
    <row r="32" spans="1:15" x14ac:dyDescent="0.25">
      <c r="A32" s="10" t="s">
        <v>807</v>
      </c>
      <c r="B32" s="6">
        <v>45994</v>
      </c>
      <c r="C32" s="10" t="s">
        <v>808</v>
      </c>
      <c r="D32" s="10" t="s">
        <v>145</v>
      </c>
      <c r="E32" s="11">
        <v>71.819999999999993</v>
      </c>
      <c r="F32" s="10" t="str">
        <f>IF(tblBank[[#This Row],[Reference]]="","",IFERROR(INDEX(tblLedger[Entry],MATCH(tblBank[[#This Row],[Reference]],tblLedger[Reference],0)),""))</f>
        <v>BNK25-01827</v>
      </c>
      <c r="G3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2" s="10" t="str">
        <f>IF(tblBank[[#This Row],[RefEntry]]&lt;&gt;"",tblBank[[#This Row],[RefEntry]],tblBank[[#This Row],[AmountEntry]])</f>
        <v>BNK25-01827</v>
      </c>
      <c r="I32" s="10" t="str">
        <f>IF(tblBank[[#This Row],[RefEntry]]&lt;&gt;"","Reference",IF(tblBank[[#This Row],[AmountEntry]]&lt;&gt;"","Amount and date","None"))</f>
        <v>Reference</v>
      </c>
      <c r="J32" s="11">
        <f>IF(tblBank[[#This Row],[MatchedEntry]]="","",INDEX(tblLedger[Amount],MATCH(tblBank[[#This Row],[MatchedEntry]],tblLedger[Entry],0)))</f>
        <v>71.819999999999993</v>
      </c>
      <c r="K32" s="11">
        <f>IF(tblBank[[#This Row],[MatchedEntry]]="",0,ROUND(tblBank[[#This Row],[Amount]]-tblBank[[#This Row],[BookAmount]],2))</f>
        <v>0</v>
      </c>
      <c r="L32" s="10" t="str">
        <f>IF(tblBank[[#This Row],[MatchedEntry]]="","Not in books",IF(tblBank[[#This Row],[Difference]]&lt;&gt;0,"Amount difference","Matched"))</f>
        <v>Matched</v>
      </c>
      <c r="M3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2" s="10" t="str">
        <f>IF(tblBank[[#This Row],[Status]]="Matched","",COUNTIF(INDEX(tblBank[Status],1):tblBank[[#This Row],[Status]],"&lt;&gt;Matched"))</f>
        <v/>
      </c>
    </row>
    <row r="33" spans="1:15" x14ac:dyDescent="0.25">
      <c r="A33" s="10" t="s">
        <v>809</v>
      </c>
      <c r="B33" s="6">
        <v>45995</v>
      </c>
      <c r="C33" s="10" t="s">
        <v>810</v>
      </c>
      <c r="D33" s="10" t="s">
        <v>133</v>
      </c>
      <c r="E33" s="11">
        <v>-272.77</v>
      </c>
      <c r="F33" s="10" t="str">
        <f>IF(tblBank[[#This Row],[Reference]]="","",IFERROR(INDEX(tblLedger[Entry],MATCH(tblBank[[#This Row],[Reference]],tblLedger[Reference],0)),""))</f>
        <v>BNK25-01823</v>
      </c>
      <c r="G3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3" s="10" t="str">
        <f>IF(tblBank[[#This Row],[RefEntry]]&lt;&gt;"",tblBank[[#This Row],[RefEntry]],tblBank[[#This Row],[AmountEntry]])</f>
        <v>BNK25-01823</v>
      </c>
      <c r="I33" s="10" t="str">
        <f>IF(tblBank[[#This Row],[RefEntry]]&lt;&gt;"","Reference",IF(tblBank[[#This Row],[AmountEntry]]&lt;&gt;"","Amount and date","None"))</f>
        <v>Reference</v>
      </c>
      <c r="J33" s="11">
        <f>IF(tblBank[[#This Row],[MatchedEntry]]="","",INDEX(tblLedger[Amount],MATCH(tblBank[[#This Row],[MatchedEntry]],tblLedger[Entry],0)))</f>
        <v>-272.77</v>
      </c>
      <c r="K33" s="11">
        <f>IF(tblBank[[#This Row],[MatchedEntry]]="",0,ROUND(tblBank[[#This Row],[Amount]]-tblBank[[#This Row],[BookAmount]],2))</f>
        <v>0</v>
      </c>
      <c r="L33" s="10" t="str">
        <f>IF(tblBank[[#This Row],[MatchedEntry]]="","Not in books",IF(tblBank[[#This Row],[Difference]]&lt;&gt;0,"Amount difference","Matched"))</f>
        <v>Matched</v>
      </c>
      <c r="M3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3" s="10" t="str">
        <f>IF(tblBank[[#This Row],[Status]]="Matched","",COUNTIF(INDEX(tblBank[Status],1):tblBank[[#This Row],[Status]],"&lt;&gt;Matched"))</f>
        <v/>
      </c>
    </row>
    <row r="34" spans="1:15" x14ac:dyDescent="0.25">
      <c r="A34" s="10" t="s">
        <v>811</v>
      </c>
      <c r="B34" s="6">
        <v>45995</v>
      </c>
      <c r="C34" s="10" t="s">
        <v>812</v>
      </c>
      <c r="D34" s="10" t="s">
        <v>160</v>
      </c>
      <c r="E34" s="11">
        <v>264.73</v>
      </c>
      <c r="F34" s="10" t="str">
        <f>IF(tblBank[[#This Row],[Reference]]="","",IFERROR(INDEX(tblLedger[Entry],MATCH(tblBank[[#This Row],[Reference]],tblLedger[Reference],0)),""))</f>
        <v>BNK25-01832</v>
      </c>
      <c r="G3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4" s="10" t="str">
        <f>IF(tblBank[[#This Row],[RefEntry]]&lt;&gt;"",tblBank[[#This Row],[RefEntry]],tblBank[[#This Row],[AmountEntry]])</f>
        <v>BNK25-01832</v>
      </c>
      <c r="I34" s="10" t="str">
        <f>IF(tblBank[[#This Row],[RefEntry]]&lt;&gt;"","Reference",IF(tblBank[[#This Row],[AmountEntry]]&lt;&gt;"","Amount and date","None"))</f>
        <v>Reference</v>
      </c>
      <c r="J34" s="11">
        <f>IF(tblBank[[#This Row],[MatchedEntry]]="","",INDEX(tblLedger[Amount],MATCH(tblBank[[#This Row],[MatchedEntry]],tblLedger[Entry],0)))</f>
        <v>264.73</v>
      </c>
      <c r="K34" s="11">
        <f>IF(tblBank[[#This Row],[MatchedEntry]]="",0,ROUND(tblBank[[#This Row],[Amount]]-tblBank[[#This Row],[BookAmount]],2))</f>
        <v>0</v>
      </c>
      <c r="L34" s="10" t="str">
        <f>IF(tblBank[[#This Row],[MatchedEntry]]="","Not in books",IF(tblBank[[#This Row],[Difference]]&lt;&gt;0,"Amount difference","Matched"))</f>
        <v>Matched</v>
      </c>
      <c r="M3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4" s="10" t="str">
        <f>IF(tblBank[[#This Row],[Status]]="Matched","",COUNTIF(INDEX(tblBank[Status],1):tblBank[[#This Row],[Status]],"&lt;&gt;Matched"))</f>
        <v/>
      </c>
    </row>
    <row r="35" spans="1:15" x14ac:dyDescent="0.25">
      <c r="A35" s="10" t="s">
        <v>813</v>
      </c>
      <c r="B35" s="6">
        <v>45995</v>
      </c>
      <c r="C35" s="10" t="s">
        <v>814</v>
      </c>
      <c r="D35" s="10" t="s">
        <v>154</v>
      </c>
      <c r="E35" s="11">
        <v>181.28</v>
      </c>
      <c r="F35" s="10" t="str">
        <f>IF(tblBank[[#This Row],[Reference]]="","",IFERROR(INDEX(tblLedger[Entry],MATCH(tblBank[[#This Row],[Reference]],tblLedger[Reference],0)),""))</f>
        <v>BNK25-01830</v>
      </c>
      <c r="G3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5" s="10" t="str">
        <f>IF(tblBank[[#This Row],[RefEntry]]&lt;&gt;"",tblBank[[#This Row],[RefEntry]],tblBank[[#This Row],[AmountEntry]])</f>
        <v>BNK25-01830</v>
      </c>
      <c r="I35" s="10" t="str">
        <f>IF(tblBank[[#This Row],[RefEntry]]&lt;&gt;"","Reference",IF(tblBank[[#This Row],[AmountEntry]]&lt;&gt;"","Amount and date","None"))</f>
        <v>Reference</v>
      </c>
      <c r="J35" s="11">
        <f>IF(tblBank[[#This Row],[MatchedEntry]]="","",INDEX(tblLedger[Amount],MATCH(tblBank[[#This Row],[MatchedEntry]],tblLedger[Entry],0)))</f>
        <v>181.28</v>
      </c>
      <c r="K35" s="11">
        <f>IF(tblBank[[#This Row],[MatchedEntry]]="",0,ROUND(tblBank[[#This Row],[Amount]]-tblBank[[#This Row],[BookAmount]],2))</f>
        <v>0</v>
      </c>
      <c r="L35" s="10" t="str">
        <f>IF(tblBank[[#This Row],[MatchedEntry]]="","Not in books",IF(tblBank[[#This Row],[Difference]]&lt;&gt;0,"Amount difference","Matched"))</f>
        <v>Matched</v>
      </c>
      <c r="M3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5" s="10" t="str">
        <f>IF(tblBank[[#This Row],[Status]]="Matched","",COUNTIF(INDEX(tblBank[Status],1):tblBank[[#This Row],[Status]],"&lt;&gt;Matched"))</f>
        <v/>
      </c>
    </row>
    <row r="36" spans="1:15" x14ac:dyDescent="0.25">
      <c r="A36" s="10" t="s">
        <v>815</v>
      </c>
      <c r="B36" s="6">
        <v>45995</v>
      </c>
      <c r="C36" s="10" t="s">
        <v>816</v>
      </c>
      <c r="D36" s="10" t="s">
        <v>163</v>
      </c>
      <c r="E36" s="11">
        <v>302.82</v>
      </c>
      <c r="F36" s="10" t="str">
        <f>IF(tblBank[[#This Row],[Reference]]="","",IFERROR(INDEX(tblLedger[Entry],MATCH(tblBank[[#This Row],[Reference]],tblLedger[Reference],0)),""))</f>
        <v>BNK25-01833</v>
      </c>
      <c r="G3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6" s="10" t="str">
        <f>IF(tblBank[[#This Row],[RefEntry]]&lt;&gt;"",tblBank[[#This Row],[RefEntry]],tblBank[[#This Row],[AmountEntry]])</f>
        <v>BNK25-01833</v>
      </c>
      <c r="I36" s="10" t="str">
        <f>IF(tblBank[[#This Row],[RefEntry]]&lt;&gt;"","Reference",IF(tblBank[[#This Row],[AmountEntry]]&lt;&gt;"","Amount and date","None"))</f>
        <v>Reference</v>
      </c>
      <c r="J36" s="11">
        <f>IF(tblBank[[#This Row],[MatchedEntry]]="","",INDEX(tblLedger[Amount],MATCH(tblBank[[#This Row],[MatchedEntry]],tblLedger[Entry],0)))</f>
        <v>302.82</v>
      </c>
      <c r="K36" s="11">
        <f>IF(tblBank[[#This Row],[MatchedEntry]]="",0,ROUND(tblBank[[#This Row],[Amount]]-tblBank[[#This Row],[BookAmount]],2))</f>
        <v>0</v>
      </c>
      <c r="L36" s="10" t="str">
        <f>IF(tblBank[[#This Row],[MatchedEntry]]="","Not in books",IF(tblBank[[#This Row],[Difference]]&lt;&gt;0,"Amount difference","Matched"))</f>
        <v>Matched</v>
      </c>
      <c r="M3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6" s="10" t="str">
        <f>IF(tblBank[[#This Row],[Status]]="Matched","",COUNTIF(INDEX(tblBank[Status],1):tblBank[[#This Row],[Status]],"&lt;&gt;Matched"))</f>
        <v/>
      </c>
    </row>
    <row r="37" spans="1:15" x14ac:dyDescent="0.25">
      <c r="A37" s="10" t="s">
        <v>817</v>
      </c>
      <c r="B37" s="6">
        <v>45995</v>
      </c>
      <c r="C37" s="10" t="s">
        <v>818</v>
      </c>
      <c r="D37" s="10" t="s">
        <v>151</v>
      </c>
      <c r="E37" s="11">
        <v>349.31</v>
      </c>
      <c r="F37" s="10" t="str">
        <f>IF(tblBank[[#This Row],[Reference]]="","",IFERROR(INDEX(tblLedger[Entry],MATCH(tblBank[[#This Row],[Reference]],tblLedger[Reference],0)),""))</f>
        <v>BNK25-01829</v>
      </c>
      <c r="G3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7" s="10" t="str">
        <f>IF(tblBank[[#This Row],[RefEntry]]&lt;&gt;"",tblBank[[#This Row],[RefEntry]],tblBank[[#This Row],[AmountEntry]])</f>
        <v>BNK25-01829</v>
      </c>
      <c r="I37" s="10" t="str">
        <f>IF(tblBank[[#This Row],[RefEntry]]&lt;&gt;"","Reference",IF(tblBank[[#This Row],[AmountEntry]]&lt;&gt;"","Amount and date","None"))</f>
        <v>Reference</v>
      </c>
      <c r="J37" s="11">
        <f>IF(tblBank[[#This Row],[MatchedEntry]]="","",INDEX(tblLedger[Amount],MATCH(tblBank[[#This Row],[MatchedEntry]],tblLedger[Entry],0)))</f>
        <v>349.31</v>
      </c>
      <c r="K37" s="11">
        <f>IF(tblBank[[#This Row],[MatchedEntry]]="",0,ROUND(tblBank[[#This Row],[Amount]]-tblBank[[#This Row],[BookAmount]],2))</f>
        <v>0</v>
      </c>
      <c r="L37" s="10" t="str">
        <f>IF(tblBank[[#This Row],[MatchedEntry]]="","Not in books",IF(tblBank[[#This Row],[Difference]]&lt;&gt;0,"Amount difference","Matched"))</f>
        <v>Matched</v>
      </c>
      <c r="M3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7" s="10" t="str">
        <f>IF(tblBank[[#This Row],[Status]]="Matched","",COUNTIF(INDEX(tblBank[Status],1):tblBank[[#This Row],[Status]],"&lt;&gt;Matched"))</f>
        <v/>
      </c>
    </row>
    <row r="38" spans="1:15" x14ac:dyDescent="0.25">
      <c r="A38" s="10" t="s">
        <v>819</v>
      </c>
      <c r="B38" s="6">
        <v>45996</v>
      </c>
      <c r="C38" s="10" t="s">
        <v>820</v>
      </c>
      <c r="D38" s="10" t="s">
        <v>175</v>
      </c>
      <c r="E38" s="11">
        <v>-9412.5</v>
      </c>
      <c r="F38" s="10" t="str">
        <f>IF(tblBank[[#This Row],[Reference]]="","",IFERROR(INDEX(tblLedger[Entry],MATCH(tblBank[[#This Row],[Reference]],tblLedger[Reference],0)),""))</f>
        <v>BNK25-01837</v>
      </c>
      <c r="G3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8" s="10" t="str">
        <f>IF(tblBank[[#This Row],[RefEntry]]&lt;&gt;"",tblBank[[#This Row],[RefEntry]],tblBank[[#This Row],[AmountEntry]])</f>
        <v>BNK25-01837</v>
      </c>
      <c r="I38" s="10" t="str">
        <f>IF(tblBank[[#This Row],[RefEntry]]&lt;&gt;"","Reference",IF(tblBank[[#This Row],[AmountEntry]]&lt;&gt;"","Amount and date","None"))</f>
        <v>Reference</v>
      </c>
      <c r="J38" s="11">
        <f>IF(tblBank[[#This Row],[MatchedEntry]]="","",INDEX(tblLedger[Amount],MATCH(tblBank[[#This Row],[MatchedEntry]],tblLedger[Entry],0)))</f>
        <v>-9412.5</v>
      </c>
      <c r="K38" s="11">
        <f>IF(tblBank[[#This Row],[MatchedEntry]]="",0,ROUND(tblBank[[#This Row],[Amount]]-tblBank[[#This Row],[BookAmount]],2))</f>
        <v>0</v>
      </c>
      <c r="L38" s="10" t="str">
        <f>IF(tblBank[[#This Row],[MatchedEntry]]="","Not in books",IF(tblBank[[#This Row],[Difference]]&lt;&gt;0,"Amount difference","Matched"))</f>
        <v>Matched</v>
      </c>
      <c r="M3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8" s="10" t="str">
        <f>IF(tblBank[[#This Row],[Status]]="Matched","",COUNTIF(INDEX(tblBank[Status],1):tblBank[[#This Row],[Status]],"&lt;&gt;Matched"))</f>
        <v/>
      </c>
    </row>
    <row r="39" spans="1:15" x14ac:dyDescent="0.25">
      <c r="A39" s="10" t="s">
        <v>821</v>
      </c>
      <c r="B39" s="6">
        <v>45996</v>
      </c>
      <c r="C39" s="10" t="s">
        <v>822</v>
      </c>
      <c r="D39" s="10" t="s">
        <v>169</v>
      </c>
      <c r="E39" s="11">
        <v>-985.94</v>
      </c>
      <c r="F39" s="10" t="str">
        <f>IF(tblBank[[#This Row],[Reference]]="","",IFERROR(INDEX(tblLedger[Entry],MATCH(tblBank[[#This Row],[Reference]],tblLedger[Reference],0)),""))</f>
        <v>BNK25-01835</v>
      </c>
      <c r="G3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39" s="10" t="str">
        <f>IF(tblBank[[#This Row],[RefEntry]]&lt;&gt;"",tblBank[[#This Row],[RefEntry]],tblBank[[#This Row],[AmountEntry]])</f>
        <v>BNK25-01835</v>
      </c>
      <c r="I39" s="10" t="str">
        <f>IF(tblBank[[#This Row],[RefEntry]]&lt;&gt;"","Reference",IF(tblBank[[#This Row],[AmountEntry]]&lt;&gt;"","Amount and date","None"))</f>
        <v>Reference</v>
      </c>
      <c r="J39" s="11">
        <f>IF(tblBank[[#This Row],[MatchedEntry]]="","",INDEX(tblLedger[Amount],MATCH(tblBank[[#This Row],[MatchedEntry]],tblLedger[Entry],0)))</f>
        <v>-985.94</v>
      </c>
      <c r="K39" s="11">
        <f>IF(tblBank[[#This Row],[MatchedEntry]]="",0,ROUND(tblBank[[#This Row],[Amount]]-tblBank[[#This Row],[BookAmount]],2))</f>
        <v>0</v>
      </c>
      <c r="L39" s="10" t="str">
        <f>IF(tblBank[[#This Row],[MatchedEntry]]="","Not in books",IF(tblBank[[#This Row],[Difference]]&lt;&gt;0,"Amount difference","Matched"))</f>
        <v>Matched</v>
      </c>
      <c r="M3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3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39" s="10" t="str">
        <f>IF(tblBank[[#This Row],[Status]]="Matched","",COUNTIF(INDEX(tblBank[Status],1):tblBank[[#This Row],[Status]],"&lt;&gt;Matched"))</f>
        <v/>
      </c>
    </row>
    <row r="40" spans="1:15" x14ac:dyDescent="0.25">
      <c r="A40" s="10" t="s">
        <v>823</v>
      </c>
      <c r="B40" s="6">
        <v>45996</v>
      </c>
      <c r="C40" s="10" t="s">
        <v>824</v>
      </c>
      <c r="D40" s="10" t="s">
        <v>142</v>
      </c>
      <c r="E40" s="11">
        <v>-1865.51</v>
      </c>
      <c r="F40" s="10" t="str">
        <f>IF(tblBank[[#This Row],[Reference]]="","",IFERROR(INDEX(tblLedger[Entry],MATCH(tblBank[[#This Row],[Reference]],tblLedger[Reference],0)),""))</f>
        <v>BNK25-01826</v>
      </c>
      <c r="G4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0" s="10" t="str">
        <f>IF(tblBank[[#This Row],[RefEntry]]&lt;&gt;"",tblBank[[#This Row],[RefEntry]],tblBank[[#This Row],[AmountEntry]])</f>
        <v>BNK25-01826</v>
      </c>
      <c r="I40" s="10" t="str">
        <f>IF(tblBank[[#This Row],[RefEntry]]&lt;&gt;"","Reference",IF(tblBank[[#This Row],[AmountEntry]]&lt;&gt;"","Amount and date","None"))</f>
        <v>Reference</v>
      </c>
      <c r="J40" s="11">
        <f>IF(tblBank[[#This Row],[MatchedEntry]]="","",INDEX(tblLedger[Amount],MATCH(tblBank[[#This Row],[MatchedEntry]],tblLedger[Entry],0)))</f>
        <v>-1865.51</v>
      </c>
      <c r="K40" s="11">
        <f>IF(tblBank[[#This Row],[MatchedEntry]]="",0,ROUND(tblBank[[#This Row],[Amount]]-tblBank[[#This Row],[BookAmount]],2))</f>
        <v>0</v>
      </c>
      <c r="L40" s="10" t="str">
        <f>IF(tblBank[[#This Row],[MatchedEntry]]="","Not in books",IF(tblBank[[#This Row],[Difference]]&lt;&gt;0,"Amount difference","Matched"))</f>
        <v>Matched</v>
      </c>
      <c r="M4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0" s="10" t="str">
        <f>IF(tblBank[[#This Row],[Status]]="Matched","",COUNTIF(INDEX(tblBank[Status],1):tblBank[[#This Row],[Status]],"&lt;&gt;Matched"))</f>
        <v/>
      </c>
    </row>
    <row r="41" spans="1:15" x14ac:dyDescent="0.25">
      <c r="A41" s="10" t="s">
        <v>825</v>
      </c>
      <c r="B41" s="6">
        <v>45996</v>
      </c>
      <c r="C41" s="10" t="s">
        <v>826</v>
      </c>
      <c r="D41" s="10" t="s">
        <v>139</v>
      </c>
      <c r="E41" s="11">
        <v>-205.84</v>
      </c>
      <c r="F41" s="10" t="str">
        <f>IF(tblBank[[#This Row],[Reference]]="","",IFERROR(INDEX(tblLedger[Entry],MATCH(tblBank[[#This Row],[Reference]],tblLedger[Reference],0)),""))</f>
        <v>BNK25-01825</v>
      </c>
      <c r="G4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1" s="10" t="str">
        <f>IF(tblBank[[#This Row],[RefEntry]]&lt;&gt;"",tblBank[[#This Row],[RefEntry]],tblBank[[#This Row],[AmountEntry]])</f>
        <v>BNK25-01825</v>
      </c>
      <c r="I41" s="10" t="str">
        <f>IF(tblBank[[#This Row],[RefEntry]]&lt;&gt;"","Reference",IF(tblBank[[#This Row],[AmountEntry]]&lt;&gt;"","Amount and date","None"))</f>
        <v>Reference</v>
      </c>
      <c r="J41" s="11">
        <f>IF(tblBank[[#This Row],[MatchedEntry]]="","",INDEX(tblLedger[Amount],MATCH(tblBank[[#This Row],[MatchedEntry]],tblLedger[Entry],0)))</f>
        <v>-205.84</v>
      </c>
      <c r="K41" s="11">
        <f>IF(tblBank[[#This Row],[MatchedEntry]]="",0,ROUND(tblBank[[#This Row],[Amount]]-tblBank[[#This Row],[BookAmount]],2))</f>
        <v>0</v>
      </c>
      <c r="L41" s="10" t="str">
        <f>IF(tblBank[[#This Row],[MatchedEntry]]="","Not in books",IF(tblBank[[#This Row],[Difference]]&lt;&gt;0,"Amount difference","Matched"))</f>
        <v>Matched</v>
      </c>
      <c r="M4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1" s="10" t="str">
        <f>IF(tblBank[[#This Row],[Status]]="Matched","",COUNTIF(INDEX(tblBank[Status],1):tblBank[[#This Row],[Status]],"&lt;&gt;Matched"))</f>
        <v/>
      </c>
    </row>
    <row r="42" spans="1:15" x14ac:dyDescent="0.25">
      <c r="A42" s="10" t="s">
        <v>827</v>
      </c>
      <c r="B42" s="6">
        <v>45996</v>
      </c>
      <c r="C42" s="10" t="s">
        <v>828</v>
      </c>
      <c r="D42" s="10" t="s">
        <v>157</v>
      </c>
      <c r="E42" s="11">
        <v>-5400</v>
      </c>
      <c r="F42" s="10" t="str">
        <f>IF(tblBank[[#This Row],[Reference]]="","",IFERROR(INDEX(tblLedger[Entry],MATCH(tblBank[[#This Row],[Reference]],tblLedger[Reference],0)),""))</f>
        <v>BNK25-01831</v>
      </c>
      <c r="G4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2" s="10" t="str">
        <f>IF(tblBank[[#This Row],[RefEntry]]&lt;&gt;"",tblBank[[#This Row],[RefEntry]],tblBank[[#This Row],[AmountEntry]])</f>
        <v>BNK25-01831</v>
      </c>
      <c r="I42" s="10" t="str">
        <f>IF(tblBank[[#This Row],[RefEntry]]&lt;&gt;"","Reference",IF(tblBank[[#This Row],[AmountEntry]]&lt;&gt;"","Amount and date","None"))</f>
        <v>Reference</v>
      </c>
      <c r="J42" s="11">
        <f>IF(tblBank[[#This Row],[MatchedEntry]]="","",INDEX(tblLedger[Amount],MATCH(tblBank[[#This Row],[MatchedEntry]],tblLedger[Entry],0)))</f>
        <v>-5400</v>
      </c>
      <c r="K42" s="11">
        <f>IF(tblBank[[#This Row],[MatchedEntry]]="",0,ROUND(tblBank[[#This Row],[Amount]]-tblBank[[#This Row],[BookAmount]],2))</f>
        <v>0</v>
      </c>
      <c r="L42" s="10" t="str">
        <f>IF(tblBank[[#This Row],[MatchedEntry]]="","Not in books",IF(tblBank[[#This Row],[Difference]]&lt;&gt;0,"Amount difference","Matched"))</f>
        <v>Matched</v>
      </c>
      <c r="M4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2" s="10" t="str">
        <f>IF(tblBank[[#This Row],[Status]]="Matched","",COUNTIF(INDEX(tblBank[Status],1):tblBank[[#This Row],[Status]],"&lt;&gt;Matched"))</f>
        <v/>
      </c>
    </row>
    <row r="43" spans="1:15" x14ac:dyDescent="0.25">
      <c r="A43" s="10" t="s">
        <v>829</v>
      </c>
      <c r="B43" s="6">
        <v>45996</v>
      </c>
      <c r="C43" s="10" t="s">
        <v>830</v>
      </c>
      <c r="D43" s="10" t="s">
        <v>178</v>
      </c>
      <c r="E43" s="11">
        <v>434.86</v>
      </c>
      <c r="F43" s="10" t="str">
        <f>IF(tblBank[[#This Row],[Reference]]="","",IFERROR(INDEX(tblLedger[Entry],MATCH(tblBank[[#This Row],[Reference]],tblLedger[Reference],0)),""))</f>
        <v>BNK25-01838</v>
      </c>
      <c r="G4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3" s="10" t="str">
        <f>IF(tblBank[[#This Row],[RefEntry]]&lt;&gt;"",tblBank[[#This Row],[RefEntry]],tblBank[[#This Row],[AmountEntry]])</f>
        <v>BNK25-01838</v>
      </c>
      <c r="I43" s="10" t="str">
        <f>IF(tblBank[[#This Row],[RefEntry]]&lt;&gt;"","Reference",IF(tblBank[[#This Row],[AmountEntry]]&lt;&gt;"","Amount and date","None"))</f>
        <v>Reference</v>
      </c>
      <c r="J43" s="11">
        <f>IF(tblBank[[#This Row],[MatchedEntry]]="","",INDEX(tblLedger[Amount],MATCH(tblBank[[#This Row],[MatchedEntry]],tblLedger[Entry],0)))</f>
        <v>434.86</v>
      </c>
      <c r="K43" s="11">
        <f>IF(tblBank[[#This Row],[MatchedEntry]]="",0,ROUND(tblBank[[#This Row],[Amount]]-tblBank[[#This Row],[BookAmount]],2))</f>
        <v>0</v>
      </c>
      <c r="L43" s="10" t="str">
        <f>IF(tblBank[[#This Row],[MatchedEntry]]="","Not in books",IF(tblBank[[#This Row],[Difference]]&lt;&gt;0,"Amount difference","Matched"))</f>
        <v>Matched</v>
      </c>
      <c r="M4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3" s="10" t="str">
        <f>IF(tblBank[[#This Row],[Status]]="Matched","",COUNTIF(INDEX(tblBank[Status],1):tblBank[[#This Row],[Status]],"&lt;&gt;Matched"))</f>
        <v/>
      </c>
    </row>
    <row r="44" spans="1:15" x14ac:dyDescent="0.25">
      <c r="A44" s="10" t="s">
        <v>831</v>
      </c>
      <c r="B44" s="6">
        <v>45996</v>
      </c>
      <c r="C44" s="10" t="s">
        <v>832</v>
      </c>
      <c r="D44" s="10" t="s">
        <v>166</v>
      </c>
      <c r="E44" s="11">
        <v>1125.06</v>
      </c>
      <c r="F44" s="10" t="str">
        <f>IF(tblBank[[#This Row],[Reference]]="","",IFERROR(INDEX(tblLedger[Entry],MATCH(tblBank[[#This Row],[Reference]],tblLedger[Reference],0)),""))</f>
        <v>BNK25-01834</v>
      </c>
      <c r="G4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4" s="10" t="str">
        <f>IF(tblBank[[#This Row],[RefEntry]]&lt;&gt;"",tblBank[[#This Row],[RefEntry]],tblBank[[#This Row],[AmountEntry]])</f>
        <v>BNK25-01834</v>
      </c>
      <c r="I44" s="10" t="str">
        <f>IF(tblBank[[#This Row],[RefEntry]]&lt;&gt;"","Reference",IF(tblBank[[#This Row],[AmountEntry]]&lt;&gt;"","Amount and date","None"))</f>
        <v>Reference</v>
      </c>
      <c r="J44" s="11">
        <f>IF(tblBank[[#This Row],[MatchedEntry]]="","",INDEX(tblLedger[Amount],MATCH(tblBank[[#This Row],[MatchedEntry]],tblLedger[Entry],0)))</f>
        <v>1125.06</v>
      </c>
      <c r="K44" s="11">
        <f>IF(tblBank[[#This Row],[MatchedEntry]]="",0,ROUND(tblBank[[#This Row],[Amount]]-tblBank[[#This Row],[BookAmount]],2))</f>
        <v>0</v>
      </c>
      <c r="L44" s="10" t="str">
        <f>IF(tblBank[[#This Row],[MatchedEntry]]="","Not in books",IF(tblBank[[#This Row],[Difference]]&lt;&gt;0,"Amount difference","Matched"))</f>
        <v>Matched</v>
      </c>
      <c r="M4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4" s="10" t="str">
        <f>IF(tblBank[[#This Row],[Status]]="Matched","",COUNTIF(INDEX(tblBank[Status],1):tblBank[[#This Row],[Status]],"&lt;&gt;Matched"))</f>
        <v/>
      </c>
    </row>
    <row r="45" spans="1:15" x14ac:dyDescent="0.25">
      <c r="A45" s="10" t="s">
        <v>833</v>
      </c>
      <c r="B45" s="6">
        <v>45996</v>
      </c>
      <c r="C45" s="10" t="s">
        <v>834</v>
      </c>
      <c r="D45" s="10" t="s">
        <v>172</v>
      </c>
      <c r="E45" s="11">
        <v>333.29</v>
      </c>
      <c r="F45" s="10" t="str">
        <f>IF(tblBank[[#This Row],[Reference]]="","",IFERROR(INDEX(tblLedger[Entry],MATCH(tblBank[[#This Row],[Reference]],tblLedger[Reference],0)),""))</f>
        <v>BNK25-01836</v>
      </c>
      <c r="G4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5" s="10" t="str">
        <f>IF(tblBank[[#This Row],[RefEntry]]&lt;&gt;"",tblBank[[#This Row],[RefEntry]],tblBank[[#This Row],[AmountEntry]])</f>
        <v>BNK25-01836</v>
      </c>
      <c r="I45" s="10" t="str">
        <f>IF(tblBank[[#This Row],[RefEntry]]&lt;&gt;"","Reference",IF(tblBank[[#This Row],[AmountEntry]]&lt;&gt;"","Amount and date","None"))</f>
        <v>Reference</v>
      </c>
      <c r="J45" s="11">
        <f>IF(tblBank[[#This Row],[MatchedEntry]]="","",INDEX(tblLedger[Amount],MATCH(tblBank[[#This Row],[MatchedEntry]],tblLedger[Entry],0)))</f>
        <v>333.29</v>
      </c>
      <c r="K45" s="11">
        <f>IF(tblBank[[#This Row],[MatchedEntry]]="",0,ROUND(tblBank[[#This Row],[Amount]]-tblBank[[#This Row],[BookAmount]],2))</f>
        <v>0</v>
      </c>
      <c r="L45" s="10" t="str">
        <f>IF(tblBank[[#This Row],[MatchedEntry]]="","Not in books",IF(tblBank[[#This Row],[Difference]]&lt;&gt;0,"Amount difference","Matched"))</f>
        <v>Matched</v>
      </c>
      <c r="M4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5" s="10" t="str">
        <f>IF(tblBank[[#This Row],[Status]]="Matched","",COUNTIF(INDEX(tblBank[Status],1):tblBank[[#This Row],[Status]],"&lt;&gt;Matched"))</f>
        <v/>
      </c>
    </row>
    <row r="46" spans="1:15" x14ac:dyDescent="0.25">
      <c r="A46" s="10" t="s">
        <v>835</v>
      </c>
      <c r="B46" s="6">
        <v>45996</v>
      </c>
      <c r="C46" s="10" t="s">
        <v>836</v>
      </c>
      <c r="D46" s="10" t="s">
        <v>181</v>
      </c>
      <c r="E46" s="11">
        <v>1116.07</v>
      </c>
      <c r="F46" s="10" t="str">
        <f>IF(tblBank[[#This Row],[Reference]]="","",IFERROR(INDEX(tblLedger[Entry],MATCH(tblBank[[#This Row],[Reference]],tblLedger[Reference],0)),""))</f>
        <v>BNK25-01839</v>
      </c>
      <c r="G4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6" s="10" t="str">
        <f>IF(tblBank[[#This Row],[RefEntry]]&lt;&gt;"",tblBank[[#This Row],[RefEntry]],tblBank[[#This Row],[AmountEntry]])</f>
        <v>BNK25-01839</v>
      </c>
      <c r="I46" s="10" t="str">
        <f>IF(tblBank[[#This Row],[RefEntry]]&lt;&gt;"","Reference",IF(tblBank[[#This Row],[AmountEntry]]&lt;&gt;"","Amount and date","None"))</f>
        <v>Reference</v>
      </c>
      <c r="J46" s="11">
        <f>IF(tblBank[[#This Row],[MatchedEntry]]="","",INDEX(tblLedger[Amount],MATCH(tblBank[[#This Row],[MatchedEntry]],tblLedger[Entry],0)))</f>
        <v>1116.07</v>
      </c>
      <c r="K46" s="11">
        <f>IF(tblBank[[#This Row],[MatchedEntry]]="",0,ROUND(tblBank[[#This Row],[Amount]]-tblBank[[#This Row],[BookAmount]],2))</f>
        <v>0</v>
      </c>
      <c r="L46" s="10" t="str">
        <f>IF(tblBank[[#This Row],[MatchedEntry]]="","Not in books",IF(tblBank[[#This Row],[Difference]]&lt;&gt;0,"Amount difference","Matched"))</f>
        <v>Matched</v>
      </c>
      <c r="M4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6" s="10" t="str">
        <f>IF(tblBank[[#This Row],[Status]]="Matched","",COUNTIF(INDEX(tblBank[Status],1):tblBank[[#This Row],[Status]],"&lt;&gt;Matched"))</f>
        <v/>
      </c>
    </row>
    <row r="47" spans="1:15" x14ac:dyDescent="0.25">
      <c r="A47" s="10" t="s">
        <v>837</v>
      </c>
      <c r="B47" s="6">
        <v>45999</v>
      </c>
      <c r="C47" s="10" t="s">
        <v>838</v>
      </c>
      <c r="D47" s="10" t="s">
        <v>214</v>
      </c>
      <c r="E47" s="11">
        <v>-16942.97</v>
      </c>
      <c r="F47" s="10" t="str">
        <f>IF(tblBank[[#This Row],[Reference]]="","",IFERROR(INDEX(tblLedger[Entry],MATCH(tblBank[[#This Row],[Reference]],tblLedger[Reference],0)),""))</f>
        <v>BNK25-01850</v>
      </c>
      <c r="G4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7" s="10" t="str">
        <f>IF(tblBank[[#This Row],[RefEntry]]&lt;&gt;"",tblBank[[#This Row],[RefEntry]],tblBank[[#This Row],[AmountEntry]])</f>
        <v>BNK25-01850</v>
      </c>
      <c r="I47" s="10" t="str">
        <f>IF(tblBank[[#This Row],[RefEntry]]&lt;&gt;"","Reference",IF(tblBank[[#This Row],[AmountEntry]]&lt;&gt;"","Amount and date","None"))</f>
        <v>Reference</v>
      </c>
      <c r="J47" s="11">
        <f>IF(tblBank[[#This Row],[MatchedEntry]]="","",INDEX(tblLedger[Amount],MATCH(tblBank[[#This Row],[MatchedEntry]],tblLedger[Entry],0)))</f>
        <v>-16942.97</v>
      </c>
      <c r="K47" s="11">
        <f>IF(tblBank[[#This Row],[MatchedEntry]]="",0,ROUND(tblBank[[#This Row],[Amount]]-tblBank[[#This Row],[BookAmount]],2))</f>
        <v>0</v>
      </c>
      <c r="L47" s="10" t="str">
        <f>IF(tblBank[[#This Row],[MatchedEntry]]="","Not in books",IF(tblBank[[#This Row],[Difference]]&lt;&gt;0,"Amount difference","Matched"))</f>
        <v>Matched</v>
      </c>
      <c r="M4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7" s="10" t="str">
        <f>IF(tblBank[[#This Row],[Status]]="Matched","",COUNTIF(INDEX(tblBank[Status],1):tblBank[[#This Row],[Status]],"&lt;&gt;Matched"))</f>
        <v/>
      </c>
    </row>
    <row r="48" spans="1:15" x14ac:dyDescent="0.25">
      <c r="A48" s="10" t="s">
        <v>839</v>
      </c>
      <c r="B48" s="6">
        <v>45999</v>
      </c>
      <c r="C48" s="10" t="s">
        <v>840</v>
      </c>
      <c r="D48" s="10" t="s">
        <v>193</v>
      </c>
      <c r="E48" s="11">
        <v>238.54</v>
      </c>
      <c r="F48" s="10" t="str">
        <f>IF(tblBank[[#This Row],[Reference]]="","",IFERROR(INDEX(tblLedger[Entry],MATCH(tblBank[[#This Row],[Reference]],tblLedger[Reference],0)),""))</f>
        <v>BNK25-01843</v>
      </c>
      <c r="G4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8" s="10" t="str">
        <f>IF(tblBank[[#This Row],[RefEntry]]&lt;&gt;"",tblBank[[#This Row],[RefEntry]],tblBank[[#This Row],[AmountEntry]])</f>
        <v>BNK25-01843</v>
      </c>
      <c r="I48" s="10" t="str">
        <f>IF(tblBank[[#This Row],[RefEntry]]&lt;&gt;"","Reference",IF(tblBank[[#This Row],[AmountEntry]]&lt;&gt;"","Amount and date","None"))</f>
        <v>Reference</v>
      </c>
      <c r="J48" s="11">
        <f>IF(tblBank[[#This Row],[MatchedEntry]]="","",INDEX(tblLedger[Amount],MATCH(tblBank[[#This Row],[MatchedEntry]],tblLedger[Entry],0)))</f>
        <v>238.54</v>
      </c>
      <c r="K48" s="11">
        <f>IF(tblBank[[#This Row],[MatchedEntry]]="",0,ROUND(tblBank[[#This Row],[Amount]]-tblBank[[#This Row],[BookAmount]],2))</f>
        <v>0</v>
      </c>
      <c r="L48" s="10" t="str">
        <f>IF(tblBank[[#This Row],[MatchedEntry]]="","Not in books",IF(tblBank[[#This Row],[Difference]]&lt;&gt;0,"Amount difference","Matched"))</f>
        <v>Matched</v>
      </c>
      <c r="M4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8" s="10" t="str">
        <f>IF(tblBank[[#This Row],[Status]]="Matched","",COUNTIF(INDEX(tblBank[Status],1):tblBank[[#This Row],[Status]],"&lt;&gt;Matched"))</f>
        <v/>
      </c>
    </row>
    <row r="49" spans="1:15" x14ac:dyDescent="0.25">
      <c r="A49" s="10" t="s">
        <v>841</v>
      </c>
      <c r="B49" s="6">
        <v>45999</v>
      </c>
      <c r="C49" s="10" t="s">
        <v>842</v>
      </c>
      <c r="D49" s="10" t="s">
        <v>244</v>
      </c>
      <c r="E49" s="11">
        <v>205.33</v>
      </c>
      <c r="F49" s="10" t="str">
        <f>IF(tblBank[[#This Row],[Reference]]="","",IFERROR(INDEX(tblLedger[Entry],MATCH(tblBank[[#This Row],[Reference]],tblLedger[Reference],0)),""))</f>
        <v>BNK25-01860</v>
      </c>
      <c r="G4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49" s="10" t="str">
        <f>IF(tblBank[[#This Row],[RefEntry]]&lt;&gt;"",tblBank[[#This Row],[RefEntry]],tblBank[[#This Row],[AmountEntry]])</f>
        <v>BNK25-01860</v>
      </c>
      <c r="I49" s="10" t="str">
        <f>IF(tblBank[[#This Row],[RefEntry]]&lt;&gt;"","Reference",IF(tblBank[[#This Row],[AmountEntry]]&lt;&gt;"","Amount and date","None"))</f>
        <v>Reference</v>
      </c>
      <c r="J49" s="11">
        <f>IF(tblBank[[#This Row],[MatchedEntry]]="","",INDEX(tblLedger[Amount],MATCH(tblBank[[#This Row],[MatchedEntry]],tblLedger[Entry],0)))</f>
        <v>205.33</v>
      </c>
      <c r="K49" s="11">
        <f>IF(tblBank[[#This Row],[MatchedEntry]]="",0,ROUND(tblBank[[#This Row],[Amount]]-tblBank[[#This Row],[BookAmount]],2))</f>
        <v>0</v>
      </c>
      <c r="L49" s="10" t="str">
        <f>IF(tblBank[[#This Row],[MatchedEntry]]="","Not in books",IF(tblBank[[#This Row],[Difference]]&lt;&gt;0,"Amount difference","Matched"))</f>
        <v>Matched</v>
      </c>
      <c r="M4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4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49" s="10" t="str">
        <f>IF(tblBank[[#This Row],[Status]]="Matched","",COUNTIF(INDEX(tblBank[Status],1):tblBank[[#This Row],[Status]],"&lt;&gt;Matched"))</f>
        <v/>
      </c>
    </row>
    <row r="50" spans="1:15" x14ac:dyDescent="0.25">
      <c r="A50" s="10" t="s">
        <v>843</v>
      </c>
      <c r="B50" s="6">
        <v>45999</v>
      </c>
      <c r="C50" s="10" t="s">
        <v>844</v>
      </c>
      <c r="D50" s="10" t="s">
        <v>229</v>
      </c>
      <c r="E50" s="11">
        <v>4389.5600000000004</v>
      </c>
      <c r="F50" s="10" t="str">
        <f>IF(tblBank[[#This Row],[Reference]]="","",IFERROR(INDEX(tblLedger[Entry],MATCH(tblBank[[#This Row],[Reference]],tblLedger[Reference],0)),""))</f>
        <v>BNK25-01855</v>
      </c>
      <c r="G5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0" s="10" t="str">
        <f>IF(tblBank[[#This Row],[RefEntry]]&lt;&gt;"",tblBank[[#This Row],[RefEntry]],tblBank[[#This Row],[AmountEntry]])</f>
        <v>BNK25-01855</v>
      </c>
      <c r="I50" s="10" t="str">
        <f>IF(tblBank[[#This Row],[RefEntry]]&lt;&gt;"","Reference",IF(tblBank[[#This Row],[AmountEntry]]&lt;&gt;"","Amount and date","None"))</f>
        <v>Reference</v>
      </c>
      <c r="J50" s="11">
        <f>IF(tblBank[[#This Row],[MatchedEntry]]="","",INDEX(tblLedger[Amount],MATCH(tblBank[[#This Row],[MatchedEntry]],tblLedger[Entry],0)))</f>
        <v>4389.5600000000004</v>
      </c>
      <c r="K50" s="11">
        <f>IF(tblBank[[#This Row],[MatchedEntry]]="",0,ROUND(tblBank[[#This Row],[Amount]]-tblBank[[#This Row],[BookAmount]],2))</f>
        <v>0</v>
      </c>
      <c r="L50" s="10" t="str">
        <f>IF(tblBank[[#This Row],[MatchedEntry]]="","Not in books",IF(tblBank[[#This Row],[Difference]]&lt;&gt;0,"Amount difference","Matched"))</f>
        <v>Matched</v>
      </c>
      <c r="M5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0" s="10" t="str">
        <f>IF(tblBank[[#This Row],[Status]]="Matched","",COUNTIF(INDEX(tblBank[Status],1):tblBank[[#This Row],[Status]],"&lt;&gt;Matched"))</f>
        <v/>
      </c>
    </row>
    <row r="51" spans="1:15" x14ac:dyDescent="0.25">
      <c r="A51" s="10" t="s">
        <v>845</v>
      </c>
      <c r="B51" s="6">
        <v>45999</v>
      </c>
      <c r="C51" s="10" t="s">
        <v>846</v>
      </c>
      <c r="D51" s="10" t="s">
        <v>190</v>
      </c>
      <c r="E51" s="11">
        <v>127.9</v>
      </c>
      <c r="F51" s="10" t="str">
        <f>IF(tblBank[[#This Row],[Reference]]="","",IFERROR(INDEX(tblLedger[Entry],MATCH(tblBank[[#This Row],[Reference]],tblLedger[Reference],0)),""))</f>
        <v>BNK25-01842</v>
      </c>
      <c r="G5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1" s="10" t="str">
        <f>IF(tblBank[[#This Row],[RefEntry]]&lt;&gt;"",tblBank[[#This Row],[RefEntry]],tblBank[[#This Row],[AmountEntry]])</f>
        <v>BNK25-01842</v>
      </c>
      <c r="I51" s="10" t="str">
        <f>IF(tblBank[[#This Row],[RefEntry]]&lt;&gt;"","Reference",IF(tblBank[[#This Row],[AmountEntry]]&lt;&gt;"","Amount and date","None"))</f>
        <v>Reference</v>
      </c>
      <c r="J51" s="11">
        <f>IF(tblBank[[#This Row],[MatchedEntry]]="","",INDEX(tblLedger[Amount],MATCH(tblBank[[#This Row],[MatchedEntry]],tblLedger[Entry],0)))</f>
        <v>127.9</v>
      </c>
      <c r="K51" s="11">
        <f>IF(tblBank[[#This Row],[MatchedEntry]]="",0,ROUND(tblBank[[#This Row],[Amount]]-tblBank[[#This Row],[BookAmount]],2))</f>
        <v>0</v>
      </c>
      <c r="L51" s="10" t="str">
        <f>IF(tblBank[[#This Row],[MatchedEntry]]="","Not in books",IF(tblBank[[#This Row],[Difference]]&lt;&gt;0,"Amount difference","Matched"))</f>
        <v>Matched</v>
      </c>
      <c r="M5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1" s="10" t="str">
        <f>IF(tblBank[[#This Row],[Status]]="Matched","",COUNTIF(INDEX(tblBank[Status],1):tblBank[[#This Row],[Status]],"&lt;&gt;Matched"))</f>
        <v/>
      </c>
    </row>
    <row r="52" spans="1:15" x14ac:dyDescent="0.25">
      <c r="A52" s="10" t="s">
        <v>847</v>
      </c>
      <c r="B52" s="6">
        <v>45999</v>
      </c>
      <c r="C52" s="10" t="s">
        <v>848</v>
      </c>
      <c r="D52" s="10" t="s">
        <v>217</v>
      </c>
      <c r="E52" s="11">
        <v>1803.66</v>
      </c>
      <c r="F52" s="10" t="str">
        <f>IF(tblBank[[#This Row],[Reference]]="","",IFERROR(INDEX(tblLedger[Entry],MATCH(tblBank[[#This Row],[Reference]],tblLedger[Reference],0)),""))</f>
        <v>BNK25-01851</v>
      </c>
      <c r="G5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2" s="10" t="str">
        <f>IF(tblBank[[#This Row],[RefEntry]]&lt;&gt;"",tblBank[[#This Row],[RefEntry]],tblBank[[#This Row],[AmountEntry]])</f>
        <v>BNK25-01851</v>
      </c>
      <c r="I52" s="10" t="str">
        <f>IF(tblBank[[#This Row],[RefEntry]]&lt;&gt;"","Reference",IF(tblBank[[#This Row],[AmountEntry]]&lt;&gt;"","Amount and date","None"))</f>
        <v>Reference</v>
      </c>
      <c r="J52" s="11">
        <f>IF(tblBank[[#This Row],[MatchedEntry]]="","",INDEX(tblLedger[Amount],MATCH(tblBank[[#This Row],[MatchedEntry]],tblLedger[Entry],0)))</f>
        <v>1803.66</v>
      </c>
      <c r="K52" s="11">
        <f>IF(tblBank[[#This Row],[MatchedEntry]]="",0,ROUND(tblBank[[#This Row],[Amount]]-tblBank[[#This Row],[BookAmount]],2))</f>
        <v>0</v>
      </c>
      <c r="L52" s="10" t="str">
        <f>IF(tblBank[[#This Row],[MatchedEntry]]="","Not in books",IF(tblBank[[#This Row],[Difference]]&lt;&gt;0,"Amount difference","Matched"))</f>
        <v>Matched</v>
      </c>
      <c r="M5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2" s="10" t="str">
        <f>IF(tblBank[[#This Row],[Status]]="Matched","",COUNTIF(INDEX(tblBank[Status],1):tblBank[[#This Row],[Status]],"&lt;&gt;Matched"))</f>
        <v/>
      </c>
    </row>
    <row r="53" spans="1:15" x14ac:dyDescent="0.25">
      <c r="A53" s="10" t="s">
        <v>849</v>
      </c>
      <c r="B53" s="6">
        <v>45999</v>
      </c>
      <c r="C53" s="10" t="s">
        <v>850</v>
      </c>
      <c r="D53" s="10" t="s">
        <v>259</v>
      </c>
      <c r="E53" s="11">
        <v>672.55</v>
      </c>
      <c r="F53" s="10" t="str">
        <f>IF(tblBank[[#This Row],[Reference]]="","",IFERROR(INDEX(tblLedger[Entry],MATCH(tblBank[[#This Row],[Reference]],tblLedger[Reference],0)),""))</f>
        <v>BNK25-01865</v>
      </c>
      <c r="G5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3" s="10" t="str">
        <f>IF(tblBank[[#This Row],[RefEntry]]&lt;&gt;"",tblBank[[#This Row],[RefEntry]],tblBank[[#This Row],[AmountEntry]])</f>
        <v>BNK25-01865</v>
      </c>
      <c r="I53" s="10" t="str">
        <f>IF(tblBank[[#This Row],[RefEntry]]&lt;&gt;"","Reference",IF(tblBank[[#This Row],[AmountEntry]]&lt;&gt;"","Amount and date","None"))</f>
        <v>Reference</v>
      </c>
      <c r="J53" s="11">
        <f>IF(tblBank[[#This Row],[MatchedEntry]]="","",INDEX(tblLedger[Amount],MATCH(tblBank[[#This Row],[MatchedEntry]],tblLedger[Entry],0)))</f>
        <v>672.55</v>
      </c>
      <c r="K53" s="11">
        <f>IF(tblBank[[#This Row],[MatchedEntry]]="",0,ROUND(tblBank[[#This Row],[Amount]]-tblBank[[#This Row],[BookAmount]],2))</f>
        <v>0</v>
      </c>
      <c r="L53" s="10" t="str">
        <f>IF(tblBank[[#This Row],[MatchedEntry]]="","Not in books",IF(tblBank[[#This Row],[Difference]]&lt;&gt;0,"Amount difference","Matched"))</f>
        <v>Matched</v>
      </c>
      <c r="M5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3" s="10" t="str">
        <f>IF(tblBank[[#This Row],[Status]]="Matched","",COUNTIF(INDEX(tblBank[Status],1):tblBank[[#This Row],[Status]],"&lt;&gt;Matched"))</f>
        <v/>
      </c>
    </row>
    <row r="54" spans="1:15" x14ac:dyDescent="0.25">
      <c r="A54" s="10" t="s">
        <v>851</v>
      </c>
      <c r="B54" s="6">
        <v>45999</v>
      </c>
      <c r="C54" s="10" t="s">
        <v>852</v>
      </c>
      <c r="D54" s="10" t="s">
        <v>208</v>
      </c>
      <c r="E54" s="11">
        <v>965.6</v>
      </c>
      <c r="F54" s="10" t="str">
        <f>IF(tblBank[[#This Row],[Reference]]="","",IFERROR(INDEX(tblLedger[Entry],MATCH(tblBank[[#This Row],[Reference]],tblLedger[Reference],0)),""))</f>
        <v>BNK25-01848</v>
      </c>
      <c r="G5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4" s="10" t="str">
        <f>IF(tblBank[[#This Row],[RefEntry]]&lt;&gt;"",tblBank[[#This Row],[RefEntry]],tblBank[[#This Row],[AmountEntry]])</f>
        <v>BNK25-01848</v>
      </c>
      <c r="I54" s="10" t="str">
        <f>IF(tblBank[[#This Row],[RefEntry]]&lt;&gt;"","Reference",IF(tblBank[[#This Row],[AmountEntry]]&lt;&gt;"","Amount and date","None"))</f>
        <v>Reference</v>
      </c>
      <c r="J54" s="11">
        <f>IF(tblBank[[#This Row],[MatchedEntry]]="","",INDEX(tblLedger[Amount],MATCH(tblBank[[#This Row],[MatchedEntry]],tblLedger[Entry],0)))</f>
        <v>965.6</v>
      </c>
      <c r="K54" s="11">
        <f>IF(tblBank[[#This Row],[MatchedEntry]]="",0,ROUND(tblBank[[#This Row],[Amount]]-tblBank[[#This Row],[BookAmount]],2))</f>
        <v>0</v>
      </c>
      <c r="L54" s="10" t="str">
        <f>IF(tblBank[[#This Row],[MatchedEntry]]="","Not in books",IF(tblBank[[#This Row],[Difference]]&lt;&gt;0,"Amount difference","Matched"))</f>
        <v>Matched</v>
      </c>
      <c r="M5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4" s="10" t="str">
        <f>IF(tblBank[[#This Row],[Status]]="Matched","",COUNTIF(INDEX(tblBank[Status],1):tblBank[[#This Row],[Status]],"&lt;&gt;Matched"))</f>
        <v/>
      </c>
    </row>
    <row r="55" spans="1:15" x14ac:dyDescent="0.25">
      <c r="A55" s="10" t="s">
        <v>853</v>
      </c>
      <c r="B55" s="6">
        <v>45999</v>
      </c>
      <c r="C55" s="10" t="s">
        <v>854</v>
      </c>
      <c r="D55" s="10" t="s">
        <v>232</v>
      </c>
      <c r="E55" s="11">
        <v>936.55</v>
      </c>
      <c r="F55" s="10" t="str">
        <f>IF(tblBank[[#This Row],[Reference]]="","",IFERROR(INDEX(tblLedger[Entry],MATCH(tblBank[[#This Row],[Reference]],tblLedger[Reference],0)),""))</f>
        <v>BNK25-01856</v>
      </c>
      <c r="G5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5" s="10" t="str">
        <f>IF(tblBank[[#This Row],[RefEntry]]&lt;&gt;"",tblBank[[#This Row],[RefEntry]],tblBank[[#This Row],[AmountEntry]])</f>
        <v>BNK25-01856</v>
      </c>
      <c r="I55" s="10" t="str">
        <f>IF(tblBank[[#This Row],[RefEntry]]&lt;&gt;"","Reference",IF(tblBank[[#This Row],[AmountEntry]]&lt;&gt;"","Amount and date","None"))</f>
        <v>Reference</v>
      </c>
      <c r="J55" s="11">
        <f>IF(tblBank[[#This Row],[MatchedEntry]]="","",INDEX(tblLedger[Amount],MATCH(tblBank[[#This Row],[MatchedEntry]],tblLedger[Entry],0)))</f>
        <v>936.55</v>
      </c>
      <c r="K55" s="11">
        <f>IF(tblBank[[#This Row],[MatchedEntry]]="",0,ROUND(tblBank[[#This Row],[Amount]]-tblBank[[#This Row],[BookAmount]],2))</f>
        <v>0</v>
      </c>
      <c r="L55" s="10" t="str">
        <f>IF(tblBank[[#This Row],[MatchedEntry]]="","Not in books",IF(tblBank[[#This Row],[Difference]]&lt;&gt;0,"Amount difference","Matched"))</f>
        <v>Matched</v>
      </c>
      <c r="M5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5" s="10" t="str">
        <f>IF(tblBank[[#This Row],[Status]]="Matched","",COUNTIF(INDEX(tblBank[Status],1):tblBank[[#This Row],[Status]],"&lt;&gt;Matched"))</f>
        <v/>
      </c>
    </row>
    <row r="56" spans="1:15" x14ac:dyDescent="0.25">
      <c r="A56" s="10" t="s">
        <v>855</v>
      </c>
      <c r="B56" s="6">
        <v>45999</v>
      </c>
      <c r="C56" s="10" t="s">
        <v>856</v>
      </c>
      <c r="D56" s="10" t="s">
        <v>211</v>
      </c>
      <c r="E56" s="11">
        <v>3626.35</v>
      </c>
      <c r="F56" s="10" t="str">
        <f>IF(tblBank[[#This Row],[Reference]]="","",IFERROR(INDEX(tblLedger[Entry],MATCH(tblBank[[#This Row],[Reference]],tblLedger[Reference],0)),""))</f>
        <v>BNK25-01849</v>
      </c>
      <c r="G5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6" s="10" t="str">
        <f>IF(tblBank[[#This Row],[RefEntry]]&lt;&gt;"",tblBank[[#This Row],[RefEntry]],tblBank[[#This Row],[AmountEntry]])</f>
        <v>BNK25-01849</v>
      </c>
      <c r="I56" s="10" t="str">
        <f>IF(tblBank[[#This Row],[RefEntry]]&lt;&gt;"","Reference",IF(tblBank[[#This Row],[AmountEntry]]&lt;&gt;"","Amount and date","None"))</f>
        <v>Reference</v>
      </c>
      <c r="J56" s="11">
        <f>IF(tblBank[[#This Row],[MatchedEntry]]="","",INDEX(tblLedger[Amount],MATCH(tblBank[[#This Row],[MatchedEntry]],tblLedger[Entry],0)))</f>
        <v>3626.35</v>
      </c>
      <c r="K56" s="11">
        <f>IF(tblBank[[#This Row],[MatchedEntry]]="",0,ROUND(tblBank[[#This Row],[Amount]]-tblBank[[#This Row],[BookAmount]],2))</f>
        <v>0</v>
      </c>
      <c r="L56" s="10" t="str">
        <f>IF(tblBank[[#This Row],[MatchedEntry]]="","Not in books",IF(tblBank[[#This Row],[Difference]]&lt;&gt;0,"Amount difference","Matched"))</f>
        <v>Matched</v>
      </c>
      <c r="M5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6" s="10" t="str">
        <f>IF(tblBank[[#This Row],[Status]]="Matched","",COUNTIF(INDEX(tblBank[Status],1):tblBank[[#This Row],[Status]],"&lt;&gt;Matched"))</f>
        <v/>
      </c>
    </row>
    <row r="57" spans="1:15" x14ac:dyDescent="0.25">
      <c r="A57" s="10" t="s">
        <v>857</v>
      </c>
      <c r="B57" s="6">
        <v>45999</v>
      </c>
      <c r="C57" s="10" t="s">
        <v>858</v>
      </c>
      <c r="D57" s="10" t="s">
        <v>196</v>
      </c>
      <c r="E57" s="11">
        <v>4778.1400000000003</v>
      </c>
      <c r="F57" s="10" t="str">
        <f>IF(tblBank[[#This Row],[Reference]]="","",IFERROR(INDEX(tblLedger[Entry],MATCH(tblBank[[#This Row],[Reference]],tblLedger[Reference],0)),""))</f>
        <v>BNK25-01844</v>
      </c>
      <c r="G5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7" s="10" t="str">
        <f>IF(tblBank[[#This Row],[RefEntry]]&lt;&gt;"",tblBank[[#This Row],[RefEntry]],tblBank[[#This Row],[AmountEntry]])</f>
        <v>BNK25-01844</v>
      </c>
      <c r="I57" s="10" t="str">
        <f>IF(tblBank[[#This Row],[RefEntry]]&lt;&gt;"","Reference",IF(tblBank[[#This Row],[AmountEntry]]&lt;&gt;"","Amount and date","None"))</f>
        <v>Reference</v>
      </c>
      <c r="J57" s="11">
        <f>IF(tblBank[[#This Row],[MatchedEntry]]="","",INDEX(tblLedger[Amount],MATCH(tblBank[[#This Row],[MatchedEntry]],tblLedger[Entry],0)))</f>
        <v>4778.1400000000003</v>
      </c>
      <c r="K57" s="11">
        <f>IF(tblBank[[#This Row],[MatchedEntry]]="",0,ROUND(tblBank[[#This Row],[Amount]]-tblBank[[#This Row],[BookAmount]],2))</f>
        <v>0</v>
      </c>
      <c r="L57" s="10" t="str">
        <f>IF(tblBank[[#This Row],[MatchedEntry]]="","Not in books",IF(tblBank[[#This Row],[Difference]]&lt;&gt;0,"Amount difference","Matched"))</f>
        <v>Matched</v>
      </c>
      <c r="M5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7" s="10" t="str">
        <f>IF(tblBank[[#This Row],[Status]]="Matched","",COUNTIF(INDEX(tblBank[Status],1):tblBank[[#This Row],[Status]],"&lt;&gt;Matched"))</f>
        <v/>
      </c>
    </row>
    <row r="58" spans="1:15" x14ac:dyDescent="0.25">
      <c r="A58" s="10" t="s">
        <v>859</v>
      </c>
      <c r="B58" s="6">
        <v>45999</v>
      </c>
      <c r="C58" s="10" t="s">
        <v>860</v>
      </c>
      <c r="D58" s="10" t="s">
        <v>256</v>
      </c>
      <c r="E58" s="11">
        <v>1692.71</v>
      </c>
      <c r="F58" s="10" t="str">
        <f>IF(tblBank[[#This Row],[Reference]]="","",IFERROR(INDEX(tblLedger[Entry],MATCH(tblBank[[#This Row],[Reference]],tblLedger[Reference],0)),""))</f>
        <v>BNK25-01864</v>
      </c>
      <c r="G5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8" s="10" t="str">
        <f>IF(tblBank[[#This Row],[RefEntry]]&lt;&gt;"",tblBank[[#This Row],[RefEntry]],tblBank[[#This Row],[AmountEntry]])</f>
        <v>BNK25-01864</v>
      </c>
      <c r="I58" s="10" t="str">
        <f>IF(tblBank[[#This Row],[RefEntry]]&lt;&gt;"","Reference",IF(tblBank[[#This Row],[AmountEntry]]&lt;&gt;"","Amount and date","None"))</f>
        <v>Reference</v>
      </c>
      <c r="J58" s="11">
        <f>IF(tblBank[[#This Row],[MatchedEntry]]="","",INDEX(tblLedger[Amount],MATCH(tblBank[[#This Row],[MatchedEntry]],tblLedger[Entry],0)))</f>
        <v>1692.71</v>
      </c>
      <c r="K58" s="11">
        <f>IF(tblBank[[#This Row],[MatchedEntry]]="",0,ROUND(tblBank[[#This Row],[Amount]]-tblBank[[#This Row],[BookAmount]],2))</f>
        <v>0</v>
      </c>
      <c r="L58" s="10" t="str">
        <f>IF(tblBank[[#This Row],[MatchedEntry]]="","Not in books",IF(tblBank[[#This Row],[Difference]]&lt;&gt;0,"Amount difference","Matched"))</f>
        <v>Matched</v>
      </c>
      <c r="M5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8" s="10" t="str">
        <f>IF(tblBank[[#This Row],[Status]]="Matched","",COUNTIF(INDEX(tblBank[Status],1):tblBank[[#This Row],[Status]],"&lt;&gt;Matched"))</f>
        <v/>
      </c>
    </row>
    <row r="59" spans="1:15" x14ac:dyDescent="0.25">
      <c r="A59" s="10" t="s">
        <v>861</v>
      </c>
      <c r="B59" s="6">
        <v>45999</v>
      </c>
      <c r="C59" s="10" t="s">
        <v>862</v>
      </c>
      <c r="D59" s="10" t="s">
        <v>238</v>
      </c>
      <c r="E59" s="11">
        <v>357.23</v>
      </c>
      <c r="F59" s="10" t="str">
        <f>IF(tblBank[[#This Row],[Reference]]="","",IFERROR(INDEX(tblLedger[Entry],MATCH(tblBank[[#This Row],[Reference]],tblLedger[Reference],0)),""))</f>
        <v>BNK25-01858</v>
      </c>
      <c r="G5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59" s="10" t="str">
        <f>IF(tblBank[[#This Row],[RefEntry]]&lt;&gt;"",tblBank[[#This Row],[RefEntry]],tblBank[[#This Row],[AmountEntry]])</f>
        <v>BNK25-01858</v>
      </c>
      <c r="I59" s="10" t="str">
        <f>IF(tblBank[[#This Row],[RefEntry]]&lt;&gt;"","Reference",IF(tblBank[[#This Row],[AmountEntry]]&lt;&gt;"","Amount and date","None"))</f>
        <v>Reference</v>
      </c>
      <c r="J59" s="11">
        <f>IF(tblBank[[#This Row],[MatchedEntry]]="","",INDEX(tblLedger[Amount],MATCH(tblBank[[#This Row],[MatchedEntry]],tblLedger[Entry],0)))</f>
        <v>357.23</v>
      </c>
      <c r="K59" s="11">
        <f>IF(tblBank[[#This Row],[MatchedEntry]]="",0,ROUND(tblBank[[#This Row],[Amount]]-tblBank[[#This Row],[BookAmount]],2))</f>
        <v>0</v>
      </c>
      <c r="L59" s="10" t="str">
        <f>IF(tblBank[[#This Row],[MatchedEntry]]="","Not in books",IF(tblBank[[#This Row],[Difference]]&lt;&gt;0,"Amount difference","Matched"))</f>
        <v>Matched</v>
      </c>
      <c r="M5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5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59" s="10" t="str">
        <f>IF(tblBank[[#This Row],[Status]]="Matched","",COUNTIF(INDEX(tblBank[Status],1):tblBank[[#This Row],[Status]],"&lt;&gt;Matched"))</f>
        <v/>
      </c>
    </row>
    <row r="60" spans="1:15" x14ac:dyDescent="0.25">
      <c r="A60" s="10" t="s">
        <v>863</v>
      </c>
      <c r="B60" s="6">
        <v>45999</v>
      </c>
      <c r="C60" s="10" t="s">
        <v>864</v>
      </c>
      <c r="D60" s="10" t="s">
        <v>199</v>
      </c>
      <c r="E60" s="11">
        <v>10031.65</v>
      </c>
      <c r="F60" s="10" t="str">
        <f>IF(tblBank[[#This Row],[Reference]]="","",IFERROR(INDEX(tblLedger[Entry],MATCH(tblBank[[#This Row],[Reference]],tblLedger[Reference],0)),""))</f>
        <v>BNK25-01845</v>
      </c>
      <c r="G6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0" s="10" t="str">
        <f>IF(tblBank[[#This Row],[RefEntry]]&lt;&gt;"",tblBank[[#This Row],[RefEntry]],tblBank[[#This Row],[AmountEntry]])</f>
        <v>BNK25-01845</v>
      </c>
      <c r="I60" s="10" t="str">
        <f>IF(tblBank[[#This Row],[RefEntry]]&lt;&gt;"","Reference",IF(tblBank[[#This Row],[AmountEntry]]&lt;&gt;"","Amount and date","None"))</f>
        <v>Reference</v>
      </c>
      <c r="J60" s="11">
        <f>IF(tblBank[[#This Row],[MatchedEntry]]="","",INDEX(tblLedger[Amount],MATCH(tblBank[[#This Row],[MatchedEntry]],tblLedger[Entry],0)))</f>
        <v>10031.65</v>
      </c>
      <c r="K60" s="11">
        <f>IF(tblBank[[#This Row],[MatchedEntry]]="",0,ROUND(tblBank[[#This Row],[Amount]]-tblBank[[#This Row],[BookAmount]],2))</f>
        <v>0</v>
      </c>
      <c r="L60" s="10" t="str">
        <f>IF(tblBank[[#This Row],[MatchedEntry]]="","Not in books",IF(tblBank[[#This Row],[Difference]]&lt;&gt;0,"Amount difference","Matched"))</f>
        <v>Matched</v>
      </c>
      <c r="M6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0" s="10" t="str">
        <f>IF(tblBank[[#This Row],[Status]]="Matched","",COUNTIF(INDEX(tblBank[Status],1):tblBank[[#This Row],[Status]],"&lt;&gt;Matched"))</f>
        <v/>
      </c>
    </row>
    <row r="61" spans="1:15" x14ac:dyDescent="0.25">
      <c r="A61" s="10" t="s">
        <v>865</v>
      </c>
      <c r="B61" s="6">
        <v>45999</v>
      </c>
      <c r="C61" s="10" t="s">
        <v>866</v>
      </c>
      <c r="D61" s="10" t="s">
        <v>205</v>
      </c>
      <c r="E61" s="11">
        <v>611.29999999999995</v>
      </c>
      <c r="F61" s="10" t="str">
        <f>IF(tblBank[[#This Row],[Reference]]="","",IFERROR(INDEX(tblLedger[Entry],MATCH(tblBank[[#This Row],[Reference]],tblLedger[Reference],0)),""))</f>
        <v>BNK25-01847</v>
      </c>
      <c r="G6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1" s="10" t="str">
        <f>IF(tblBank[[#This Row],[RefEntry]]&lt;&gt;"",tblBank[[#This Row],[RefEntry]],tblBank[[#This Row],[AmountEntry]])</f>
        <v>BNK25-01847</v>
      </c>
      <c r="I61" s="10" t="str">
        <f>IF(tblBank[[#This Row],[RefEntry]]&lt;&gt;"","Reference",IF(tblBank[[#This Row],[AmountEntry]]&lt;&gt;"","Amount and date","None"))</f>
        <v>Reference</v>
      </c>
      <c r="J61" s="11">
        <f>IF(tblBank[[#This Row],[MatchedEntry]]="","",INDEX(tblLedger[Amount],MATCH(tblBank[[#This Row],[MatchedEntry]],tblLedger[Entry],0)))</f>
        <v>611.29999999999995</v>
      </c>
      <c r="K61" s="11">
        <f>IF(tblBank[[#This Row],[MatchedEntry]]="",0,ROUND(tblBank[[#This Row],[Amount]]-tblBank[[#This Row],[BookAmount]],2))</f>
        <v>0</v>
      </c>
      <c r="L61" s="10" t="str">
        <f>IF(tblBank[[#This Row],[MatchedEntry]]="","Not in books",IF(tblBank[[#This Row],[Difference]]&lt;&gt;0,"Amount difference","Matched"))</f>
        <v>Matched</v>
      </c>
      <c r="M6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1" s="10" t="str">
        <f>IF(tblBank[[#This Row],[Status]]="Matched","",COUNTIF(INDEX(tblBank[Status],1):tblBank[[#This Row],[Status]],"&lt;&gt;Matched"))</f>
        <v/>
      </c>
    </row>
    <row r="62" spans="1:15" x14ac:dyDescent="0.25">
      <c r="A62" s="10" t="s">
        <v>867</v>
      </c>
      <c r="B62" s="6">
        <v>45999</v>
      </c>
      <c r="C62" s="10" t="s">
        <v>868</v>
      </c>
      <c r="D62" s="10" t="s">
        <v>241</v>
      </c>
      <c r="E62" s="11">
        <v>393.95</v>
      </c>
      <c r="F62" s="10" t="str">
        <f>IF(tblBank[[#This Row],[Reference]]="","",IFERROR(INDEX(tblLedger[Entry],MATCH(tblBank[[#This Row],[Reference]],tblLedger[Reference],0)),""))</f>
        <v>BNK25-01859</v>
      </c>
      <c r="G6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2" s="10" t="str">
        <f>IF(tblBank[[#This Row],[RefEntry]]&lt;&gt;"",tblBank[[#This Row],[RefEntry]],tblBank[[#This Row],[AmountEntry]])</f>
        <v>BNK25-01859</v>
      </c>
      <c r="I62" s="10" t="str">
        <f>IF(tblBank[[#This Row],[RefEntry]]&lt;&gt;"","Reference",IF(tblBank[[#This Row],[AmountEntry]]&lt;&gt;"","Amount and date","None"))</f>
        <v>Reference</v>
      </c>
      <c r="J62" s="11">
        <f>IF(tblBank[[#This Row],[MatchedEntry]]="","",INDEX(tblLedger[Amount],MATCH(tblBank[[#This Row],[MatchedEntry]],tblLedger[Entry],0)))</f>
        <v>393.95</v>
      </c>
      <c r="K62" s="11">
        <f>IF(tblBank[[#This Row],[MatchedEntry]]="",0,ROUND(tblBank[[#This Row],[Amount]]-tblBank[[#This Row],[BookAmount]],2))</f>
        <v>0</v>
      </c>
      <c r="L62" s="10" t="str">
        <f>IF(tblBank[[#This Row],[MatchedEntry]]="","Not in books",IF(tblBank[[#This Row],[Difference]]&lt;&gt;0,"Amount difference","Matched"))</f>
        <v>Matched</v>
      </c>
      <c r="M6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2" s="10" t="str">
        <f>IF(tblBank[[#This Row],[Status]]="Matched","",COUNTIF(INDEX(tblBank[Status],1):tblBank[[#This Row],[Status]],"&lt;&gt;Matched"))</f>
        <v/>
      </c>
    </row>
    <row r="63" spans="1:15" x14ac:dyDescent="0.25">
      <c r="A63" s="10" t="s">
        <v>869</v>
      </c>
      <c r="B63" s="6">
        <v>45999</v>
      </c>
      <c r="C63" s="10" t="s">
        <v>870</v>
      </c>
      <c r="D63" s="10" t="s">
        <v>235</v>
      </c>
      <c r="E63" s="11">
        <v>273.89</v>
      </c>
      <c r="F63" s="10" t="str">
        <f>IF(tblBank[[#This Row],[Reference]]="","",IFERROR(INDEX(tblLedger[Entry],MATCH(tblBank[[#This Row],[Reference]],tblLedger[Reference],0)),""))</f>
        <v>BNK25-01857</v>
      </c>
      <c r="G6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3" s="10" t="str">
        <f>IF(tblBank[[#This Row],[RefEntry]]&lt;&gt;"",tblBank[[#This Row],[RefEntry]],tblBank[[#This Row],[AmountEntry]])</f>
        <v>BNK25-01857</v>
      </c>
      <c r="I63" s="10" t="str">
        <f>IF(tblBank[[#This Row],[RefEntry]]&lt;&gt;"","Reference",IF(tblBank[[#This Row],[AmountEntry]]&lt;&gt;"","Amount and date","None"))</f>
        <v>Reference</v>
      </c>
      <c r="J63" s="11">
        <f>IF(tblBank[[#This Row],[MatchedEntry]]="","",INDEX(tblLedger[Amount],MATCH(tblBank[[#This Row],[MatchedEntry]],tblLedger[Entry],0)))</f>
        <v>273.89</v>
      </c>
      <c r="K63" s="11">
        <f>IF(tblBank[[#This Row],[MatchedEntry]]="",0,ROUND(tblBank[[#This Row],[Amount]]-tblBank[[#This Row],[BookAmount]],2))</f>
        <v>0</v>
      </c>
      <c r="L63" s="10" t="str">
        <f>IF(tblBank[[#This Row],[MatchedEntry]]="","Not in books",IF(tblBank[[#This Row],[Difference]]&lt;&gt;0,"Amount difference","Matched"))</f>
        <v>Matched</v>
      </c>
      <c r="M6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3" s="10" t="str">
        <f>IF(tblBank[[#This Row],[Status]]="Matched","",COUNTIF(INDEX(tblBank[Status],1):tblBank[[#This Row],[Status]],"&lt;&gt;Matched"))</f>
        <v/>
      </c>
    </row>
    <row r="64" spans="1:15" x14ac:dyDescent="0.25">
      <c r="A64" s="10" t="s">
        <v>871</v>
      </c>
      <c r="B64" s="6">
        <v>45999</v>
      </c>
      <c r="C64" s="10" t="s">
        <v>872</v>
      </c>
      <c r="D64" s="10" t="s">
        <v>223</v>
      </c>
      <c r="E64" s="11">
        <v>5864.7</v>
      </c>
      <c r="F64" s="10" t="str">
        <f>IF(tblBank[[#This Row],[Reference]]="","",IFERROR(INDEX(tblLedger[Entry],MATCH(tblBank[[#This Row],[Reference]],tblLedger[Reference],0)),""))</f>
        <v>BNK25-01853</v>
      </c>
      <c r="G6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4" s="10" t="str">
        <f>IF(tblBank[[#This Row],[RefEntry]]&lt;&gt;"",tblBank[[#This Row],[RefEntry]],tblBank[[#This Row],[AmountEntry]])</f>
        <v>BNK25-01853</v>
      </c>
      <c r="I64" s="10" t="str">
        <f>IF(tblBank[[#This Row],[RefEntry]]&lt;&gt;"","Reference",IF(tblBank[[#This Row],[AmountEntry]]&lt;&gt;"","Amount and date","None"))</f>
        <v>Reference</v>
      </c>
      <c r="J64" s="11">
        <f>IF(tblBank[[#This Row],[MatchedEntry]]="","",INDEX(tblLedger[Amount],MATCH(tblBank[[#This Row],[MatchedEntry]],tblLedger[Entry],0)))</f>
        <v>5864.7</v>
      </c>
      <c r="K64" s="11">
        <f>IF(tblBank[[#This Row],[MatchedEntry]]="",0,ROUND(tblBank[[#This Row],[Amount]]-tblBank[[#This Row],[BookAmount]],2))</f>
        <v>0</v>
      </c>
      <c r="L64" s="10" t="str">
        <f>IF(tblBank[[#This Row],[MatchedEntry]]="","Not in books",IF(tblBank[[#This Row],[Difference]]&lt;&gt;0,"Amount difference","Matched"))</f>
        <v>Matched</v>
      </c>
      <c r="M6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4" s="10" t="str">
        <f>IF(tblBank[[#This Row],[Status]]="Matched","",COUNTIF(INDEX(tblBank[Status],1):tblBank[[#This Row],[Status]],"&lt;&gt;Matched"))</f>
        <v/>
      </c>
    </row>
    <row r="65" spans="1:15" x14ac:dyDescent="0.25">
      <c r="A65" s="10" t="s">
        <v>873</v>
      </c>
      <c r="B65" s="6">
        <v>45999</v>
      </c>
      <c r="C65" s="10" t="s">
        <v>874</v>
      </c>
      <c r="D65" s="10" t="s">
        <v>806</v>
      </c>
      <c r="E65" s="11">
        <v>172.64</v>
      </c>
      <c r="F65" s="10" t="str">
        <f>IF(tblBank[[#This Row],[Reference]]="","",IFERROR(INDEX(tblLedger[Entry],MATCH(tblBank[[#This Row],[Reference]],tblLedger[Reference],0)),""))</f>
        <v/>
      </c>
      <c r="G6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BNK25-01863</v>
      </c>
      <c r="H65" s="10" t="str">
        <f>IF(tblBank[[#This Row],[RefEntry]]&lt;&gt;"",tblBank[[#This Row],[RefEntry]],tblBank[[#This Row],[AmountEntry]])</f>
        <v>BNK25-01863</v>
      </c>
      <c r="I65" s="10" t="str">
        <f>IF(tblBank[[#This Row],[RefEntry]]&lt;&gt;"","Reference",IF(tblBank[[#This Row],[AmountEntry]]&lt;&gt;"","Amount and date","None"))</f>
        <v>Amount and date</v>
      </c>
      <c r="J65" s="11">
        <f>IF(tblBank[[#This Row],[MatchedEntry]]="","",INDEX(tblLedger[Amount],MATCH(tblBank[[#This Row],[MatchedEntry]],tblLedger[Entry],0)))</f>
        <v>172.64</v>
      </c>
      <c r="K65" s="11">
        <f>IF(tblBank[[#This Row],[MatchedEntry]]="",0,ROUND(tblBank[[#This Row],[Amount]]-tblBank[[#This Row],[BookAmount]],2))</f>
        <v>0</v>
      </c>
      <c r="L65" s="10" t="str">
        <f>IF(tblBank[[#This Row],[MatchedEntry]]="","Not in books",IF(tblBank[[#This Row],[Difference]]&lt;&gt;0,"Amount difference","Matched"))</f>
        <v>Matched</v>
      </c>
      <c r="M6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5" s="10" t="str">
        <f>IF(tblBank[[#This Row],[Status]]="Matched","",COUNTIF(INDEX(tblBank[Status],1):tblBank[[#This Row],[Status]],"&lt;&gt;Matched"))</f>
        <v/>
      </c>
    </row>
    <row r="66" spans="1:15" x14ac:dyDescent="0.25">
      <c r="A66" s="10" t="s">
        <v>875</v>
      </c>
      <c r="B66" s="6">
        <v>45999</v>
      </c>
      <c r="C66" s="10" t="s">
        <v>876</v>
      </c>
      <c r="D66" s="10" t="s">
        <v>265</v>
      </c>
      <c r="E66" s="11">
        <v>491.64</v>
      </c>
      <c r="F66" s="10" t="str">
        <f>IF(tblBank[[#This Row],[Reference]]="","",IFERROR(INDEX(tblLedger[Entry],MATCH(tblBank[[#This Row],[Reference]],tblLedger[Reference],0)),""))</f>
        <v>BNK25-01867</v>
      </c>
      <c r="G6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6" s="10" t="str">
        <f>IF(tblBank[[#This Row],[RefEntry]]&lt;&gt;"",tblBank[[#This Row],[RefEntry]],tblBank[[#This Row],[AmountEntry]])</f>
        <v>BNK25-01867</v>
      </c>
      <c r="I66" s="10" t="str">
        <f>IF(tblBank[[#This Row],[RefEntry]]&lt;&gt;"","Reference",IF(tblBank[[#This Row],[AmountEntry]]&lt;&gt;"","Amount and date","None"))</f>
        <v>Reference</v>
      </c>
      <c r="J66" s="11">
        <f>IF(tblBank[[#This Row],[MatchedEntry]]="","",INDEX(tblLedger[Amount],MATCH(tblBank[[#This Row],[MatchedEntry]],tblLedger[Entry],0)))</f>
        <v>491.64</v>
      </c>
      <c r="K66" s="11">
        <f>IF(tblBank[[#This Row],[MatchedEntry]]="",0,ROUND(tblBank[[#This Row],[Amount]]-tblBank[[#This Row],[BookAmount]],2))</f>
        <v>0</v>
      </c>
      <c r="L66" s="10" t="str">
        <f>IF(tblBank[[#This Row],[MatchedEntry]]="","Not in books",IF(tblBank[[#This Row],[Difference]]&lt;&gt;0,"Amount difference","Matched"))</f>
        <v>Matched</v>
      </c>
      <c r="M6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6" s="10" t="str">
        <f>IF(tblBank[[#This Row],[Status]]="Matched","",COUNTIF(INDEX(tblBank[Status],1):tblBank[[#This Row],[Status]],"&lt;&gt;Matched"))</f>
        <v/>
      </c>
    </row>
    <row r="67" spans="1:15" x14ac:dyDescent="0.25">
      <c r="A67" s="10" t="s">
        <v>877</v>
      </c>
      <c r="B67" s="6">
        <v>45999</v>
      </c>
      <c r="C67" s="10" t="s">
        <v>878</v>
      </c>
      <c r="D67" s="10" t="s">
        <v>262</v>
      </c>
      <c r="E67" s="11">
        <v>15773.4</v>
      </c>
      <c r="F67" s="10" t="str">
        <f>IF(tblBank[[#This Row],[Reference]]="","",IFERROR(INDEX(tblLedger[Entry],MATCH(tblBank[[#This Row],[Reference]],tblLedger[Reference],0)),""))</f>
        <v>BNK25-01866</v>
      </c>
      <c r="G6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7" s="10" t="str">
        <f>IF(tblBank[[#This Row],[RefEntry]]&lt;&gt;"",tblBank[[#This Row],[RefEntry]],tblBank[[#This Row],[AmountEntry]])</f>
        <v>BNK25-01866</v>
      </c>
      <c r="I67" s="10" t="str">
        <f>IF(tblBank[[#This Row],[RefEntry]]&lt;&gt;"","Reference",IF(tblBank[[#This Row],[AmountEntry]]&lt;&gt;"","Amount and date","None"))</f>
        <v>Reference</v>
      </c>
      <c r="J67" s="11">
        <f>IF(tblBank[[#This Row],[MatchedEntry]]="","",INDEX(tblLedger[Amount],MATCH(tblBank[[#This Row],[MatchedEntry]],tblLedger[Entry],0)))</f>
        <v>15773.4</v>
      </c>
      <c r="K67" s="11">
        <f>IF(tblBank[[#This Row],[MatchedEntry]]="",0,ROUND(tblBank[[#This Row],[Amount]]-tblBank[[#This Row],[BookAmount]],2))</f>
        <v>0</v>
      </c>
      <c r="L67" s="10" t="str">
        <f>IF(tblBank[[#This Row],[MatchedEntry]]="","Not in books",IF(tblBank[[#This Row],[Difference]]&lt;&gt;0,"Amount difference","Matched"))</f>
        <v>Matched</v>
      </c>
      <c r="M6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7" s="10" t="str">
        <f>IF(tblBank[[#This Row],[Status]]="Matched","",COUNTIF(INDEX(tblBank[Status],1):tblBank[[#This Row],[Status]],"&lt;&gt;Matched"))</f>
        <v/>
      </c>
    </row>
    <row r="68" spans="1:15" x14ac:dyDescent="0.25">
      <c r="A68" s="10" t="s">
        <v>879</v>
      </c>
      <c r="B68" s="6">
        <v>45999</v>
      </c>
      <c r="C68" s="10" t="s">
        <v>880</v>
      </c>
      <c r="D68" s="10" t="s">
        <v>187</v>
      </c>
      <c r="E68" s="11">
        <v>354.76</v>
      </c>
      <c r="F68" s="10" t="str">
        <f>IF(tblBank[[#This Row],[Reference]]="","",IFERROR(INDEX(tblLedger[Entry],MATCH(tblBank[[#This Row],[Reference]],tblLedger[Reference],0)),""))</f>
        <v>BNK25-01841</v>
      </c>
      <c r="G6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8" s="10" t="str">
        <f>IF(tblBank[[#This Row],[RefEntry]]&lt;&gt;"",tblBank[[#This Row],[RefEntry]],tblBank[[#This Row],[AmountEntry]])</f>
        <v>BNK25-01841</v>
      </c>
      <c r="I68" s="10" t="str">
        <f>IF(tblBank[[#This Row],[RefEntry]]&lt;&gt;"","Reference",IF(tblBank[[#This Row],[AmountEntry]]&lt;&gt;"","Amount and date","None"))</f>
        <v>Reference</v>
      </c>
      <c r="J68" s="11">
        <f>IF(tblBank[[#This Row],[MatchedEntry]]="","",INDEX(tblLedger[Amount],MATCH(tblBank[[#This Row],[MatchedEntry]],tblLedger[Entry],0)))</f>
        <v>354.76</v>
      </c>
      <c r="K68" s="11">
        <f>IF(tblBank[[#This Row],[MatchedEntry]]="",0,ROUND(tblBank[[#This Row],[Amount]]-tblBank[[#This Row],[BookAmount]],2))</f>
        <v>0</v>
      </c>
      <c r="L68" s="10" t="str">
        <f>IF(tblBank[[#This Row],[MatchedEntry]]="","Not in books",IF(tblBank[[#This Row],[Difference]]&lt;&gt;0,"Amount difference","Matched"))</f>
        <v>Matched</v>
      </c>
      <c r="M6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8" s="10" t="str">
        <f>IF(tblBank[[#This Row],[Status]]="Matched","",COUNTIF(INDEX(tblBank[Status],1):tblBank[[#This Row],[Status]],"&lt;&gt;Matched"))</f>
        <v/>
      </c>
    </row>
    <row r="69" spans="1:15" x14ac:dyDescent="0.25">
      <c r="A69" s="10" t="s">
        <v>881</v>
      </c>
      <c r="B69" s="6">
        <v>45999</v>
      </c>
      <c r="C69" s="10" t="s">
        <v>882</v>
      </c>
      <c r="D69" s="10" t="s">
        <v>268</v>
      </c>
      <c r="E69" s="11">
        <v>641.44000000000005</v>
      </c>
      <c r="F69" s="10" t="str">
        <f>IF(tblBank[[#This Row],[Reference]]="","",IFERROR(INDEX(tblLedger[Entry],MATCH(tblBank[[#This Row],[Reference]],tblLedger[Reference],0)),""))</f>
        <v>BNK25-01868</v>
      </c>
      <c r="G6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69" s="10" t="str">
        <f>IF(tblBank[[#This Row],[RefEntry]]&lt;&gt;"",tblBank[[#This Row],[RefEntry]],tblBank[[#This Row],[AmountEntry]])</f>
        <v>BNK25-01868</v>
      </c>
      <c r="I69" s="10" t="str">
        <f>IF(tblBank[[#This Row],[RefEntry]]&lt;&gt;"","Reference",IF(tblBank[[#This Row],[AmountEntry]]&lt;&gt;"","Amount and date","None"))</f>
        <v>Reference</v>
      </c>
      <c r="J69" s="11">
        <f>IF(tblBank[[#This Row],[MatchedEntry]]="","",INDEX(tblLedger[Amount],MATCH(tblBank[[#This Row],[MatchedEntry]],tblLedger[Entry],0)))</f>
        <v>641.44000000000005</v>
      </c>
      <c r="K69" s="11">
        <f>IF(tblBank[[#This Row],[MatchedEntry]]="",0,ROUND(tblBank[[#This Row],[Amount]]-tblBank[[#This Row],[BookAmount]],2))</f>
        <v>0</v>
      </c>
      <c r="L69" s="10" t="str">
        <f>IF(tblBank[[#This Row],[MatchedEntry]]="","Not in books",IF(tblBank[[#This Row],[Difference]]&lt;&gt;0,"Amount difference","Matched"))</f>
        <v>Matched</v>
      </c>
      <c r="M6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6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69" s="10" t="str">
        <f>IF(tblBank[[#This Row],[Status]]="Matched","",COUNTIF(INDEX(tblBank[Status],1):tblBank[[#This Row],[Status]],"&lt;&gt;Matched"))</f>
        <v/>
      </c>
    </row>
    <row r="70" spans="1:15" x14ac:dyDescent="0.25">
      <c r="A70" s="10" t="s">
        <v>883</v>
      </c>
      <c r="B70" s="6">
        <v>46000</v>
      </c>
      <c r="C70" s="10" t="s">
        <v>884</v>
      </c>
      <c r="D70" s="10" t="s">
        <v>220</v>
      </c>
      <c r="E70" s="11">
        <v>-726.82</v>
      </c>
      <c r="F70" s="10" t="str">
        <f>IF(tblBank[[#This Row],[Reference]]="","",IFERROR(INDEX(tblLedger[Entry],MATCH(tblBank[[#This Row],[Reference]],tblLedger[Reference],0)),""))</f>
        <v>BNK25-01852</v>
      </c>
      <c r="G7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0" s="10" t="str">
        <f>IF(tblBank[[#This Row],[RefEntry]]&lt;&gt;"",tblBank[[#This Row],[RefEntry]],tblBank[[#This Row],[AmountEntry]])</f>
        <v>BNK25-01852</v>
      </c>
      <c r="I70" s="10" t="str">
        <f>IF(tblBank[[#This Row],[RefEntry]]&lt;&gt;"","Reference",IF(tblBank[[#This Row],[AmountEntry]]&lt;&gt;"","Amount and date","None"))</f>
        <v>Reference</v>
      </c>
      <c r="J70" s="11">
        <f>IF(tblBank[[#This Row],[MatchedEntry]]="","",INDEX(tblLedger[Amount],MATCH(tblBank[[#This Row],[MatchedEntry]],tblLedger[Entry],0)))</f>
        <v>-726.82</v>
      </c>
      <c r="K70" s="11">
        <f>IF(tblBank[[#This Row],[MatchedEntry]]="",0,ROUND(tblBank[[#This Row],[Amount]]-tblBank[[#This Row],[BookAmount]],2))</f>
        <v>0</v>
      </c>
      <c r="L70" s="10" t="str">
        <f>IF(tblBank[[#This Row],[MatchedEntry]]="","Not in books",IF(tblBank[[#This Row],[Difference]]&lt;&gt;0,"Amount difference","Matched"))</f>
        <v>Matched</v>
      </c>
      <c r="M7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0" s="10" t="str">
        <f>IF(tblBank[[#This Row],[Status]]="Matched","",COUNTIF(INDEX(tblBank[Status],1):tblBank[[#This Row],[Status]],"&lt;&gt;Matched"))</f>
        <v/>
      </c>
    </row>
    <row r="71" spans="1:15" x14ac:dyDescent="0.25">
      <c r="A71" s="10" t="s">
        <v>885</v>
      </c>
      <c r="B71" s="6">
        <v>46000</v>
      </c>
      <c r="C71" s="10" t="s">
        <v>886</v>
      </c>
      <c r="D71" s="10" t="s">
        <v>806</v>
      </c>
      <c r="E71" s="11">
        <v>-197.75</v>
      </c>
      <c r="F71" s="10" t="str">
        <f>IF(tblBank[[#This Row],[Reference]]="","",IFERROR(INDEX(tblLedger[Entry],MATCH(tblBank[[#This Row],[Reference]],tblLedger[Reference],0)),""))</f>
        <v/>
      </c>
      <c r="G7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BNK25-01846</v>
      </c>
      <c r="H71" s="10" t="str">
        <f>IF(tblBank[[#This Row],[RefEntry]]&lt;&gt;"",tblBank[[#This Row],[RefEntry]],tblBank[[#This Row],[AmountEntry]])</f>
        <v>BNK25-01846</v>
      </c>
      <c r="I71" s="10" t="str">
        <f>IF(tblBank[[#This Row],[RefEntry]]&lt;&gt;"","Reference",IF(tblBank[[#This Row],[AmountEntry]]&lt;&gt;"","Amount and date","None"))</f>
        <v>Amount and date</v>
      </c>
      <c r="J71" s="11">
        <f>IF(tblBank[[#This Row],[MatchedEntry]]="","",INDEX(tblLedger[Amount],MATCH(tblBank[[#This Row],[MatchedEntry]],tblLedger[Entry],0)))</f>
        <v>-197.75</v>
      </c>
      <c r="K71" s="11">
        <f>IF(tblBank[[#This Row],[MatchedEntry]]="",0,ROUND(tblBank[[#This Row],[Amount]]-tblBank[[#This Row],[BookAmount]],2))</f>
        <v>0</v>
      </c>
      <c r="L71" s="10" t="str">
        <f>IF(tblBank[[#This Row],[MatchedEntry]]="","Not in books",IF(tblBank[[#This Row],[Difference]]&lt;&gt;0,"Amount difference","Matched"))</f>
        <v>Matched</v>
      </c>
      <c r="M7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1" s="10" t="str">
        <f>IF(tblBank[[#This Row],[Status]]="Matched","",COUNTIF(INDEX(tblBank[Status],1):tblBank[[#This Row],[Status]],"&lt;&gt;Matched"))</f>
        <v/>
      </c>
    </row>
    <row r="72" spans="1:15" x14ac:dyDescent="0.25">
      <c r="A72" s="10" t="s">
        <v>887</v>
      </c>
      <c r="B72" s="6">
        <v>46000</v>
      </c>
      <c r="C72" s="10" t="s">
        <v>888</v>
      </c>
      <c r="D72" s="10" t="s">
        <v>226</v>
      </c>
      <c r="E72" s="11">
        <v>-817.16</v>
      </c>
      <c r="F72" s="10" t="str">
        <f>IF(tblBank[[#This Row],[Reference]]="","",IFERROR(INDEX(tblLedger[Entry],MATCH(tblBank[[#This Row],[Reference]],tblLedger[Reference],0)),""))</f>
        <v>BNK25-01854</v>
      </c>
      <c r="G7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2" s="10" t="str">
        <f>IF(tblBank[[#This Row],[RefEntry]]&lt;&gt;"",tblBank[[#This Row],[RefEntry]],tblBank[[#This Row],[AmountEntry]])</f>
        <v>BNK25-01854</v>
      </c>
      <c r="I72" s="10" t="str">
        <f>IF(tblBank[[#This Row],[RefEntry]]&lt;&gt;"","Reference",IF(tblBank[[#This Row],[AmountEntry]]&lt;&gt;"","Amount and date","None"))</f>
        <v>Reference</v>
      </c>
      <c r="J72" s="11">
        <f>IF(tblBank[[#This Row],[MatchedEntry]]="","",INDEX(tblLedger[Amount],MATCH(tblBank[[#This Row],[MatchedEntry]],tblLedger[Entry],0)))</f>
        <v>-817.16</v>
      </c>
      <c r="K72" s="11">
        <f>IF(tblBank[[#This Row],[MatchedEntry]]="",0,ROUND(tblBank[[#This Row],[Amount]]-tblBank[[#This Row],[BookAmount]],2))</f>
        <v>0</v>
      </c>
      <c r="L72" s="10" t="str">
        <f>IF(tblBank[[#This Row],[MatchedEntry]]="","Not in books",IF(tblBank[[#This Row],[Difference]]&lt;&gt;0,"Amount difference","Matched"))</f>
        <v>Matched</v>
      </c>
      <c r="M7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2" s="10" t="str">
        <f>IF(tblBank[[#This Row],[Status]]="Matched","",COUNTIF(INDEX(tblBank[Status],1):tblBank[[#This Row],[Status]],"&lt;&gt;Matched"))</f>
        <v/>
      </c>
    </row>
    <row r="73" spans="1:15" x14ac:dyDescent="0.25">
      <c r="A73" s="10" t="s">
        <v>889</v>
      </c>
      <c r="B73" s="6">
        <v>46000</v>
      </c>
      <c r="C73" s="10" t="s">
        <v>890</v>
      </c>
      <c r="D73" s="10" t="s">
        <v>274</v>
      </c>
      <c r="E73" s="11">
        <v>2828.69</v>
      </c>
      <c r="F73" s="10" t="str">
        <f>IF(tblBank[[#This Row],[Reference]]="","",IFERROR(INDEX(tblLedger[Entry],MATCH(tblBank[[#This Row],[Reference]],tblLedger[Reference],0)),""))</f>
        <v>BNK25-01870</v>
      </c>
      <c r="G7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3" s="10" t="str">
        <f>IF(tblBank[[#This Row],[RefEntry]]&lt;&gt;"",tblBank[[#This Row],[RefEntry]],tblBank[[#This Row],[AmountEntry]])</f>
        <v>BNK25-01870</v>
      </c>
      <c r="I73" s="10" t="str">
        <f>IF(tblBank[[#This Row],[RefEntry]]&lt;&gt;"","Reference",IF(tblBank[[#This Row],[AmountEntry]]&lt;&gt;"","Amount and date","None"))</f>
        <v>Reference</v>
      </c>
      <c r="J73" s="11">
        <f>IF(tblBank[[#This Row],[MatchedEntry]]="","",INDEX(tblLedger[Amount],MATCH(tblBank[[#This Row],[MatchedEntry]],tblLedger[Entry],0)))</f>
        <v>2828.69</v>
      </c>
      <c r="K73" s="11">
        <f>IF(tblBank[[#This Row],[MatchedEntry]]="",0,ROUND(tblBank[[#This Row],[Amount]]-tblBank[[#This Row],[BookAmount]],2))</f>
        <v>0</v>
      </c>
      <c r="L73" s="10" t="str">
        <f>IF(tblBank[[#This Row],[MatchedEntry]]="","Not in books",IF(tblBank[[#This Row],[Difference]]&lt;&gt;0,"Amount difference","Matched"))</f>
        <v>Matched</v>
      </c>
      <c r="M7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3" s="10" t="str">
        <f>IF(tblBank[[#This Row],[Status]]="Matched","",COUNTIF(INDEX(tblBank[Status],1):tblBank[[#This Row],[Status]],"&lt;&gt;Matched"))</f>
        <v/>
      </c>
    </row>
    <row r="74" spans="1:15" x14ac:dyDescent="0.25">
      <c r="A74" s="10" t="s">
        <v>891</v>
      </c>
      <c r="B74" s="6">
        <v>46000</v>
      </c>
      <c r="C74" s="10" t="s">
        <v>892</v>
      </c>
      <c r="D74" s="10" t="s">
        <v>271</v>
      </c>
      <c r="E74" s="11">
        <v>3594.43</v>
      </c>
      <c r="F74" s="10" t="str">
        <f>IF(tblBank[[#This Row],[Reference]]="","",IFERROR(INDEX(tblLedger[Entry],MATCH(tblBank[[#This Row],[Reference]],tblLedger[Reference],0)),""))</f>
        <v>BNK25-01869</v>
      </c>
      <c r="G7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4" s="10" t="str">
        <f>IF(tblBank[[#This Row],[RefEntry]]&lt;&gt;"",tblBank[[#This Row],[RefEntry]],tblBank[[#This Row],[AmountEntry]])</f>
        <v>BNK25-01869</v>
      </c>
      <c r="I74" s="10" t="str">
        <f>IF(tblBank[[#This Row],[RefEntry]]&lt;&gt;"","Reference",IF(tblBank[[#This Row],[AmountEntry]]&lt;&gt;"","Amount and date","None"))</f>
        <v>Reference</v>
      </c>
      <c r="J74" s="11">
        <f>IF(tblBank[[#This Row],[MatchedEntry]]="","",INDEX(tblLedger[Amount],MATCH(tblBank[[#This Row],[MatchedEntry]],tblLedger[Entry],0)))</f>
        <v>3594.43</v>
      </c>
      <c r="K74" s="11">
        <f>IF(tblBank[[#This Row],[MatchedEntry]]="",0,ROUND(tblBank[[#This Row],[Amount]]-tblBank[[#This Row],[BookAmount]],2))</f>
        <v>0</v>
      </c>
      <c r="L74" s="10" t="str">
        <f>IF(tblBank[[#This Row],[MatchedEntry]]="","Not in books",IF(tblBank[[#This Row],[Difference]]&lt;&gt;0,"Amount difference","Matched"))</f>
        <v>Matched</v>
      </c>
      <c r="M7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4" s="10" t="str">
        <f>IF(tblBank[[#This Row],[Status]]="Matched","",COUNTIF(INDEX(tblBank[Status],1):tblBank[[#This Row],[Status]],"&lt;&gt;Matched"))</f>
        <v/>
      </c>
    </row>
    <row r="75" spans="1:15" x14ac:dyDescent="0.25">
      <c r="A75" s="10" t="s">
        <v>893</v>
      </c>
      <c r="B75" s="6">
        <v>46000</v>
      </c>
      <c r="C75" s="10" t="s">
        <v>894</v>
      </c>
      <c r="D75" s="10" t="s">
        <v>295</v>
      </c>
      <c r="E75" s="11">
        <v>1137.56</v>
      </c>
      <c r="F75" s="10" t="str">
        <f>IF(tblBank[[#This Row],[Reference]]="","",IFERROR(INDEX(tblLedger[Entry],MATCH(tblBank[[#This Row],[Reference]],tblLedger[Reference],0)),""))</f>
        <v>BNK25-01877</v>
      </c>
      <c r="G7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5" s="10" t="str">
        <f>IF(tblBank[[#This Row],[RefEntry]]&lt;&gt;"",tblBank[[#This Row],[RefEntry]],tblBank[[#This Row],[AmountEntry]])</f>
        <v>BNK25-01877</v>
      </c>
      <c r="I75" s="10" t="str">
        <f>IF(tblBank[[#This Row],[RefEntry]]&lt;&gt;"","Reference",IF(tblBank[[#This Row],[AmountEntry]]&lt;&gt;"","Amount and date","None"))</f>
        <v>Reference</v>
      </c>
      <c r="J75" s="11">
        <f>IF(tblBank[[#This Row],[MatchedEntry]]="","",INDEX(tblLedger[Amount],MATCH(tblBank[[#This Row],[MatchedEntry]],tblLedger[Entry],0)))</f>
        <v>1137.56</v>
      </c>
      <c r="K75" s="11">
        <f>IF(tblBank[[#This Row],[MatchedEntry]]="",0,ROUND(tblBank[[#This Row],[Amount]]-tblBank[[#This Row],[BookAmount]],2))</f>
        <v>0</v>
      </c>
      <c r="L75" s="10" t="str">
        <f>IF(tblBank[[#This Row],[MatchedEntry]]="","Not in books",IF(tblBank[[#This Row],[Difference]]&lt;&gt;0,"Amount difference","Matched"))</f>
        <v>Matched</v>
      </c>
      <c r="M7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5" s="10" t="str">
        <f>IF(tblBank[[#This Row],[Status]]="Matched","",COUNTIF(INDEX(tblBank[Status],1):tblBank[[#This Row],[Status]],"&lt;&gt;Matched"))</f>
        <v/>
      </c>
    </row>
    <row r="76" spans="1:15" x14ac:dyDescent="0.25">
      <c r="A76" s="10" t="s">
        <v>895</v>
      </c>
      <c r="B76" s="6">
        <v>46000</v>
      </c>
      <c r="C76" s="10" t="s">
        <v>896</v>
      </c>
      <c r="D76" s="10" t="s">
        <v>286</v>
      </c>
      <c r="E76" s="11">
        <v>406.31</v>
      </c>
      <c r="F76" s="10" t="str">
        <f>IF(tblBank[[#This Row],[Reference]]="","",IFERROR(INDEX(tblLedger[Entry],MATCH(tblBank[[#This Row],[Reference]],tblLedger[Reference],0)),""))</f>
        <v>BNK25-01874</v>
      </c>
      <c r="G7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6" s="10" t="str">
        <f>IF(tblBank[[#This Row],[RefEntry]]&lt;&gt;"",tblBank[[#This Row],[RefEntry]],tblBank[[#This Row],[AmountEntry]])</f>
        <v>BNK25-01874</v>
      </c>
      <c r="I76" s="10" t="str">
        <f>IF(tblBank[[#This Row],[RefEntry]]&lt;&gt;"","Reference",IF(tblBank[[#This Row],[AmountEntry]]&lt;&gt;"","Amount and date","None"))</f>
        <v>Reference</v>
      </c>
      <c r="J76" s="11">
        <f>IF(tblBank[[#This Row],[MatchedEntry]]="","",INDEX(tblLedger[Amount],MATCH(tblBank[[#This Row],[MatchedEntry]],tblLedger[Entry],0)))</f>
        <v>406.31</v>
      </c>
      <c r="K76" s="11">
        <f>IF(tblBank[[#This Row],[MatchedEntry]]="",0,ROUND(tblBank[[#This Row],[Amount]]-tblBank[[#This Row],[BookAmount]],2))</f>
        <v>0</v>
      </c>
      <c r="L76" s="10" t="str">
        <f>IF(tblBank[[#This Row],[MatchedEntry]]="","Not in books",IF(tblBank[[#This Row],[Difference]]&lt;&gt;0,"Amount difference","Matched"))</f>
        <v>Matched</v>
      </c>
      <c r="M7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6" s="10" t="str">
        <f>IF(tblBank[[#This Row],[Status]]="Matched","",COUNTIF(INDEX(tblBank[Status],1):tblBank[[#This Row],[Status]],"&lt;&gt;Matched"))</f>
        <v/>
      </c>
    </row>
    <row r="77" spans="1:15" x14ac:dyDescent="0.25">
      <c r="A77" s="10" t="s">
        <v>897</v>
      </c>
      <c r="B77" s="6">
        <v>46000</v>
      </c>
      <c r="C77" s="10" t="s">
        <v>898</v>
      </c>
      <c r="D77" s="10" t="s">
        <v>277</v>
      </c>
      <c r="E77" s="11">
        <v>1331.96</v>
      </c>
      <c r="F77" s="10" t="str">
        <f>IF(tblBank[[#This Row],[Reference]]="","",IFERROR(INDEX(tblLedger[Entry],MATCH(tblBank[[#This Row],[Reference]],tblLedger[Reference],0)),""))</f>
        <v>BNK25-01871</v>
      </c>
      <c r="G7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7" s="10" t="str">
        <f>IF(tblBank[[#This Row],[RefEntry]]&lt;&gt;"",tblBank[[#This Row],[RefEntry]],tblBank[[#This Row],[AmountEntry]])</f>
        <v>BNK25-01871</v>
      </c>
      <c r="I77" s="10" t="str">
        <f>IF(tblBank[[#This Row],[RefEntry]]&lt;&gt;"","Reference",IF(tblBank[[#This Row],[AmountEntry]]&lt;&gt;"","Amount and date","None"))</f>
        <v>Reference</v>
      </c>
      <c r="J77" s="11">
        <f>IF(tblBank[[#This Row],[MatchedEntry]]="","",INDEX(tblLedger[Amount],MATCH(tblBank[[#This Row],[MatchedEntry]],tblLedger[Entry],0)))</f>
        <v>1331.96</v>
      </c>
      <c r="K77" s="11">
        <f>IF(tblBank[[#This Row],[MatchedEntry]]="",0,ROUND(tblBank[[#This Row],[Amount]]-tblBank[[#This Row],[BookAmount]],2))</f>
        <v>0</v>
      </c>
      <c r="L77" s="10" t="str">
        <f>IF(tblBank[[#This Row],[MatchedEntry]]="","Not in books",IF(tblBank[[#This Row],[Difference]]&lt;&gt;0,"Amount difference","Matched"))</f>
        <v>Matched</v>
      </c>
      <c r="M7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7" s="10" t="str">
        <f>IF(tblBank[[#This Row],[Status]]="Matched","",COUNTIF(INDEX(tblBank[Status],1):tblBank[[#This Row],[Status]],"&lt;&gt;Matched"))</f>
        <v/>
      </c>
    </row>
    <row r="78" spans="1:15" x14ac:dyDescent="0.25">
      <c r="A78" s="10" t="s">
        <v>899</v>
      </c>
      <c r="B78" s="6">
        <v>46000</v>
      </c>
      <c r="C78" s="10" t="s">
        <v>900</v>
      </c>
      <c r="D78" s="10" t="s">
        <v>806</v>
      </c>
      <c r="E78" s="11">
        <v>543.35</v>
      </c>
      <c r="F78" s="10" t="str">
        <f>IF(tblBank[[#This Row],[Reference]]="","",IFERROR(INDEX(tblLedger[Entry],MATCH(tblBank[[#This Row],[Reference]],tblLedger[Reference],0)),""))</f>
        <v/>
      </c>
      <c r="G7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BNK25-01873</v>
      </c>
      <c r="H78" s="10" t="str">
        <f>IF(tblBank[[#This Row],[RefEntry]]&lt;&gt;"",tblBank[[#This Row],[RefEntry]],tblBank[[#This Row],[AmountEntry]])</f>
        <v>BNK25-01873</v>
      </c>
      <c r="I78" s="10" t="str">
        <f>IF(tblBank[[#This Row],[RefEntry]]&lt;&gt;"","Reference",IF(tblBank[[#This Row],[AmountEntry]]&lt;&gt;"","Amount and date","None"))</f>
        <v>Amount and date</v>
      </c>
      <c r="J78" s="11">
        <f>IF(tblBank[[#This Row],[MatchedEntry]]="","",INDEX(tblLedger[Amount],MATCH(tblBank[[#This Row],[MatchedEntry]],tblLedger[Entry],0)))</f>
        <v>543.35</v>
      </c>
      <c r="K78" s="11">
        <f>IF(tblBank[[#This Row],[MatchedEntry]]="",0,ROUND(tblBank[[#This Row],[Amount]]-tblBank[[#This Row],[BookAmount]],2))</f>
        <v>0</v>
      </c>
      <c r="L78" s="10" t="str">
        <f>IF(tblBank[[#This Row],[MatchedEntry]]="","Not in books",IF(tblBank[[#This Row],[Difference]]&lt;&gt;0,"Amount difference","Matched"))</f>
        <v>Matched</v>
      </c>
      <c r="M7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7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78" s="10" t="str">
        <f>IF(tblBank[[#This Row],[Status]]="Matched","",COUNTIF(INDEX(tblBank[Status],1):tblBank[[#This Row],[Status]],"&lt;&gt;Matched"))</f>
        <v/>
      </c>
    </row>
    <row r="79" spans="1:15" x14ac:dyDescent="0.25">
      <c r="A79" s="10" t="s">
        <v>901</v>
      </c>
      <c r="B79" s="6">
        <v>46001</v>
      </c>
      <c r="C79" s="10" t="s">
        <v>902</v>
      </c>
      <c r="D79" s="10" t="s">
        <v>806</v>
      </c>
      <c r="E79" s="11">
        <v>-1284</v>
      </c>
      <c r="F79" s="10" t="str">
        <f>IF(tblBank[[#This Row],[Reference]]="","",IFERROR(INDEX(tblLedger[Entry],MATCH(tblBank[[#This Row],[Reference]],tblLedger[Reference],0)),""))</f>
        <v/>
      </c>
      <c r="G7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79" s="10" t="str">
        <f>IF(tblBank[[#This Row],[RefEntry]]&lt;&gt;"",tblBank[[#This Row],[RefEntry]],tblBank[[#This Row],[AmountEntry]])</f>
        <v/>
      </c>
      <c r="I79" s="10" t="str">
        <f>IF(tblBank[[#This Row],[RefEntry]]&lt;&gt;"","Reference",IF(tblBank[[#This Row],[AmountEntry]]&lt;&gt;"","Amount and date","None"))</f>
        <v>None</v>
      </c>
      <c r="J79" s="11" t="str">
        <f>IF(tblBank[[#This Row],[MatchedEntry]]="","",INDEX(tblLedger[Amount],MATCH(tblBank[[#This Row],[MatchedEntry]],tblLedger[Entry],0)))</f>
        <v/>
      </c>
      <c r="K79" s="11">
        <f>IF(tblBank[[#This Row],[MatchedEntry]]="",0,ROUND(tblBank[[#This Row],[Amount]]-tblBank[[#This Row],[BookAmount]],2))</f>
        <v>0</v>
      </c>
      <c r="L79" s="10" t="str">
        <f>IF(tblBank[[#This Row],[MatchedEntry]]="","Not in books",IF(tblBank[[#This Row],[Difference]]&lt;&gt;0,"Amount difference","Matched"))</f>
        <v>Not in books</v>
      </c>
      <c r="M7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Direct debit not booked</v>
      </c>
      <c r="N7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Find the supplier invoice and book the direct debit</v>
      </c>
      <c r="O79" s="10">
        <f>IF(tblBank[[#This Row],[Status]]="Matched","",COUNTIF(INDEX(tblBank[Status],1):tblBank[[#This Row],[Status]],"&lt;&gt;Matched"))</f>
        <v>2</v>
      </c>
    </row>
    <row r="80" spans="1:15" x14ac:dyDescent="0.25">
      <c r="A80" s="10" t="s">
        <v>903</v>
      </c>
      <c r="B80" s="6">
        <v>46001</v>
      </c>
      <c r="C80" s="10" t="s">
        <v>904</v>
      </c>
      <c r="D80" s="10" t="s">
        <v>247</v>
      </c>
      <c r="E80" s="11">
        <v>-20427.14</v>
      </c>
      <c r="F80" s="10" t="str">
        <f>IF(tblBank[[#This Row],[Reference]]="","",IFERROR(INDEX(tblLedger[Entry],MATCH(tblBank[[#This Row],[Reference]],tblLedger[Reference],0)),""))</f>
        <v>BNK25-01861</v>
      </c>
      <c r="G8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0" s="10" t="str">
        <f>IF(tblBank[[#This Row],[RefEntry]]&lt;&gt;"",tblBank[[#This Row],[RefEntry]],tblBank[[#This Row],[AmountEntry]])</f>
        <v>BNK25-01861</v>
      </c>
      <c r="I80" s="10" t="str">
        <f>IF(tblBank[[#This Row],[RefEntry]]&lt;&gt;"","Reference",IF(tblBank[[#This Row],[AmountEntry]]&lt;&gt;"","Amount and date","None"))</f>
        <v>Reference</v>
      </c>
      <c r="J80" s="11">
        <f>IF(tblBank[[#This Row],[MatchedEntry]]="","",INDEX(tblLedger[Amount],MATCH(tblBank[[#This Row],[MatchedEntry]],tblLedger[Entry],0)))</f>
        <v>-20427.14</v>
      </c>
      <c r="K80" s="11">
        <f>IF(tblBank[[#This Row],[MatchedEntry]]="",0,ROUND(tblBank[[#This Row],[Amount]]-tblBank[[#This Row],[BookAmount]],2))</f>
        <v>0</v>
      </c>
      <c r="L80" s="10" t="str">
        <f>IF(tblBank[[#This Row],[MatchedEntry]]="","Not in books",IF(tblBank[[#This Row],[Difference]]&lt;&gt;0,"Amount difference","Matched"))</f>
        <v>Matched</v>
      </c>
      <c r="M8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0" s="10" t="str">
        <f>IF(tblBank[[#This Row],[Status]]="Matched","",COUNTIF(INDEX(tblBank[Status],1):tblBank[[#This Row],[Status]],"&lt;&gt;Matched"))</f>
        <v/>
      </c>
    </row>
    <row r="81" spans="1:15" x14ac:dyDescent="0.25">
      <c r="A81" s="10" t="s">
        <v>905</v>
      </c>
      <c r="B81" s="6">
        <v>46001</v>
      </c>
      <c r="C81" s="10" t="s">
        <v>906</v>
      </c>
      <c r="D81" s="10" t="s">
        <v>280</v>
      </c>
      <c r="E81" s="11">
        <v>-543.46</v>
      </c>
      <c r="F81" s="10" t="str">
        <f>IF(tblBank[[#This Row],[Reference]]="","",IFERROR(INDEX(tblLedger[Entry],MATCH(tblBank[[#This Row],[Reference]],tblLedger[Reference],0)),""))</f>
        <v>BNK25-01872</v>
      </c>
      <c r="G8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1" s="10" t="str">
        <f>IF(tblBank[[#This Row],[RefEntry]]&lt;&gt;"",tblBank[[#This Row],[RefEntry]],tblBank[[#This Row],[AmountEntry]])</f>
        <v>BNK25-01872</v>
      </c>
      <c r="I81" s="10" t="str">
        <f>IF(tblBank[[#This Row],[RefEntry]]&lt;&gt;"","Reference",IF(tblBank[[#This Row],[AmountEntry]]&lt;&gt;"","Amount and date","None"))</f>
        <v>Reference</v>
      </c>
      <c r="J81" s="11">
        <f>IF(tblBank[[#This Row],[MatchedEntry]]="","",INDEX(tblLedger[Amount],MATCH(tblBank[[#This Row],[MatchedEntry]],tblLedger[Entry],0)))</f>
        <v>-543.46</v>
      </c>
      <c r="K81" s="11">
        <f>IF(tblBank[[#This Row],[MatchedEntry]]="",0,ROUND(tblBank[[#This Row],[Amount]]-tblBank[[#This Row],[BookAmount]],2))</f>
        <v>0</v>
      </c>
      <c r="L81" s="10" t="str">
        <f>IF(tblBank[[#This Row],[MatchedEntry]]="","Not in books",IF(tblBank[[#This Row],[Difference]]&lt;&gt;0,"Amount difference","Matched"))</f>
        <v>Matched</v>
      </c>
      <c r="M8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1" s="10" t="str">
        <f>IF(tblBank[[#This Row],[Status]]="Matched","",COUNTIF(INDEX(tblBank[Status],1):tblBank[[#This Row],[Status]],"&lt;&gt;Matched"))</f>
        <v/>
      </c>
    </row>
    <row r="82" spans="1:15" x14ac:dyDescent="0.25">
      <c r="A82" s="10" t="s">
        <v>907</v>
      </c>
      <c r="B82" s="6">
        <v>46001</v>
      </c>
      <c r="C82" s="10" t="s">
        <v>908</v>
      </c>
      <c r="D82" s="10" t="s">
        <v>289</v>
      </c>
      <c r="E82" s="11">
        <v>-3457.81</v>
      </c>
      <c r="F82" s="10" t="str">
        <f>IF(tblBank[[#This Row],[Reference]]="","",IFERROR(INDEX(tblLedger[Entry],MATCH(tblBank[[#This Row],[Reference]],tblLedger[Reference],0)),""))</f>
        <v>BNK25-01875</v>
      </c>
      <c r="G8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2" s="10" t="str">
        <f>IF(tblBank[[#This Row],[RefEntry]]&lt;&gt;"",tblBank[[#This Row],[RefEntry]],tblBank[[#This Row],[AmountEntry]])</f>
        <v>BNK25-01875</v>
      </c>
      <c r="I82" s="10" t="str">
        <f>IF(tblBank[[#This Row],[RefEntry]]&lt;&gt;"","Reference",IF(tblBank[[#This Row],[AmountEntry]]&lt;&gt;"","Amount and date","None"))</f>
        <v>Reference</v>
      </c>
      <c r="J82" s="11">
        <f>IF(tblBank[[#This Row],[MatchedEntry]]="","",INDEX(tblLedger[Amount],MATCH(tblBank[[#This Row],[MatchedEntry]],tblLedger[Entry],0)))</f>
        <v>-3457.81</v>
      </c>
      <c r="K82" s="11">
        <f>IF(tblBank[[#This Row],[MatchedEntry]]="",0,ROUND(tblBank[[#This Row],[Amount]]-tblBank[[#This Row],[BookAmount]],2))</f>
        <v>0</v>
      </c>
      <c r="L82" s="10" t="str">
        <f>IF(tblBank[[#This Row],[MatchedEntry]]="","Not in books",IF(tblBank[[#This Row],[Difference]]&lt;&gt;0,"Amount difference","Matched"))</f>
        <v>Matched</v>
      </c>
      <c r="M8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2" s="10" t="str">
        <f>IF(tblBank[[#This Row],[Status]]="Matched","",COUNTIF(INDEX(tblBank[Status],1):tblBank[[#This Row],[Status]],"&lt;&gt;Matched"))</f>
        <v/>
      </c>
    </row>
    <row r="83" spans="1:15" x14ac:dyDescent="0.25">
      <c r="A83" s="10" t="s">
        <v>909</v>
      </c>
      <c r="B83" s="6">
        <v>46001</v>
      </c>
      <c r="C83" s="10" t="s">
        <v>910</v>
      </c>
      <c r="D83" s="10" t="s">
        <v>184</v>
      </c>
      <c r="E83" s="11">
        <v>-628.9</v>
      </c>
      <c r="F83" s="10" t="str">
        <f>IF(tblBank[[#This Row],[Reference]]="","",IFERROR(INDEX(tblLedger[Entry],MATCH(tblBank[[#This Row],[Reference]],tblLedger[Reference],0)),""))</f>
        <v>BNK25-01840</v>
      </c>
      <c r="G8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3" s="10" t="str">
        <f>IF(tblBank[[#This Row],[RefEntry]]&lt;&gt;"",tblBank[[#This Row],[RefEntry]],tblBank[[#This Row],[AmountEntry]])</f>
        <v>BNK25-01840</v>
      </c>
      <c r="I83" s="10" t="str">
        <f>IF(tblBank[[#This Row],[RefEntry]]&lt;&gt;"","Reference",IF(tblBank[[#This Row],[AmountEntry]]&lt;&gt;"","Amount and date","None"))</f>
        <v>Reference</v>
      </c>
      <c r="J83" s="11">
        <f>IF(tblBank[[#This Row],[MatchedEntry]]="","",INDEX(tblLedger[Amount],MATCH(tblBank[[#This Row],[MatchedEntry]],tblLedger[Entry],0)))</f>
        <v>-628.9</v>
      </c>
      <c r="K83" s="11">
        <f>IF(tblBank[[#This Row],[MatchedEntry]]="",0,ROUND(tblBank[[#This Row],[Amount]]-tblBank[[#This Row],[BookAmount]],2))</f>
        <v>0</v>
      </c>
      <c r="L83" s="10" t="str">
        <f>IF(tblBank[[#This Row],[MatchedEntry]]="","Not in books",IF(tblBank[[#This Row],[Difference]]&lt;&gt;0,"Amount difference","Matched"))</f>
        <v>Matched</v>
      </c>
      <c r="M8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3" s="10" t="str">
        <f>IF(tblBank[[#This Row],[Status]]="Matched","",COUNTIF(INDEX(tblBank[Status],1):tblBank[[#This Row],[Status]],"&lt;&gt;Matched"))</f>
        <v/>
      </c>
    </row>
    <row r="84" spans="1:15" x14ac:dyDescent="0.25">
      <c r="A84" s="10" t="s">
        <v>911</v>
      </c>
      <c r="B84" s="6">
        <v>46001</v>
      </c>
      <c r="C84" s="10" t="s">
        <v>912</v>
      </c>
      <c r="D84" s="10" t="s">
        <v>316</v>
      </c>
      <c r="E84" s="11">
        <v>-41932.21</v>
      </c>
      <c r="F84" s="10" t="str">
        <f>IF(tblBank[[#This Row],[Reference]]="","",IFERROR(INDEX(tblLedger[Entry],MATCH(tblBank[[#This Row],[Reference]],tblLedger[Reference],0)),""))</f>
        <v>BNK25-01884</v>
      </c>
      <c r="G8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4" s="10" t="str">
        <f>IF(tblBank[[#This Row],[RefEntry]]&lt;&gt;"",tblBank[[#This Row],[RefEntry]],tblBank[[#This Row],[AmountEntry]])</f>
        <v>BNK25-01884</v>
      </c>
      <c r="I84" s="10" t="str">
        <f>IF(tblBank[[#This Row],[RefEntry]]&lt;&gt;"","Reference",IF(tblBank[[#This Row],[AmountEntry]]&lt;&gt;"","Amount and date","None"))</f>
        <v>Reference</v>
      </c>
      <c r="J84" s="11">
        <f>IF(tblBank[[#This Row],[MatchedEntry]]="","",INDEX(tblLedger[Amount],MATCH(tblBank[[#This Row],[MatchedEntry]],tblLedger[Entry],0)))</f>
        <v>-41932.21</v>
      </c>
      <c r="K84" s="11">
        <f>IF(tblBank[[#This Row],[MatchedEntry]]="",0,ROUND(tblBank[[#This Row],[Amount]]-tblBank[[#This Row],[BookAmount]],2))</f>
        <v>0</v>
      </c>
      <c r="L84" s="10" t="str">
        <f>IF(tblBank[[#This Row],[MatchedEntry]]="","Not in books",IF(tblBank[[#This Row],[Difference]]&lt;&gt;0,"Amount difference","Matched"))</f>
        <v>Matched</v>
      </c>
      <c r="M8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4" s="10" t="str">
        <f>IF(tblBank[[#This Row],[Status]]="Matched","",COUNTIF(INDEX(tblBank[Status],1):tblBank[[#This Row],[Status]],"&lt;&gt;Matched"))</f>
        <v/>
      </c>
    </row>
    <row r="85" spans="1:15" x14ac:dyDescent="0.25">
      <c r="A85" s="10" t="s">
        <v>913</v>
      </c>
      <c r="B85" s="6">
        <v>46001</v>
      </c>
      <c r="C85" s="10" t="s">
        <v>914</v>
      </c>
      <c r="D85" s="10" t="s">
        <v>806</v>
      </c>
      <c r="E85" s="11">
        <v>-5616.62</v>
      </c>
      <c r="F85" s="10" t="str">
        <f>IF(tblBank[[#This Row],[Reference]]="","",IFERROR(INDEX(tblLedger[Entry],MATCH(tblBank[[#This Row],[Reference]],tblLedger[Reference],0)),""))</f>
        <v/>
      </c>
      <c r="G8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BNK25-01862</v>
      </c>
      <c r="H85" s="10" t="str">
        <f>IF(tblBank[[#This Row],[RefEntry]]&lt;&gt;"",tblBank[[#This Row],[RefEntry]],tblBank[[#This Row],[AmountEntry]])</f>
        <v>BNK25-01862</v>
      </c>
      <c r="I85" s="10" t="str">
        <f>IF(tblBank[[#This Row],[RefEntry]]&lt;&gt;"","Reference",IF(tblBank[[#This Row],[AmountEntry]]&lt;&gt;"","Amount and date","None"))</f>
        <v>Amount and date</v>
      </c>
      <c r="J85" s="11">
        <f>IF(tblBank[[#This Row],[MatchedEntry]]="","",INDEX(tblLedger[Amount],MATCH(tblBank[[#This Row],[MatchedEntry]],tblLedger[Entry],0)))</f>
        <v>-5616.62</v>
      </c>
      <c r="K85" s="11">
        <f>IF(tblBank[[#This Row],[MatchedEntry]]="",0,ROUND(tblBank[[#This Row],[Amount]]-tblBank[[#This Row],[BookAmount]],2))</f>
        <v>0</v>
      </c>
      <c r="L85" s="10" t="str">
        <f>IF(tblBank[[#This Row],[MatchedEntry]]="","Not in books",IF(tblBank[[#This Row],[Difference]]&lt;&gt;0,"Amount difference","Matched"))</f>
        <v>Matched</v>
      </c>
      <c r="M8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5" s="10" t="str">
        <f>IF(tblBank[[#This Row],[Status]]="Matched","",COUNTIF(INDEX(tblBank[Status],1):tblBank[[#This Row],[Status]],"&lt;&gt;Matched"))</f>
        <v/>
      </c>
    </row>
    <row r="86" spans="1:15" x14ac:dyDescent="0.25">
      <c r="A86" s="10" t="s">
        <v>915</v>
      </c>
      <c r="B86" s="6">
        <v>46001</v>
      </c>
      <c r="C86" s="10" t="s">
        <v>916</v>
      </c>
      <c r="D86" s="10" t="s">
        <v>292</v>
      </c>
      <c r="E86" s="11">
        <v>-277.22000000000003</v>
      </c>
      <c r="F86" s="10" t="str">
        <f>IF(tblBank[[#This Row],[Reference]]="","",IFERROR(INDEX(tblLedger[Entry],MATCH(tblBank[[#This Row],[Reference]],tblLedger[Reference],0)),""))</f>
        <v>BNK25-01876</v>
      </c>
      <c r="G8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6" s="10" t="str">
        <f>IF(tblBank[[#This Row],[RefEntry]]&lt;&gt;"",tblBank[[#This Row],[RefEntry]],tblBank[[#This Row],[AmountEntry]])</f>
        <v>BNK25-01876</v>
      </c>
      <c r="I86" s="10" t="str">
        <f>IF(tblBank[[#This Row],[RefEntry]]&lt;&gt;"","Reference",IF(tblBank[[#This Row],[AmountEntry]]&lt;&gt;"","Amount and date","None"))</f>
        <v>Reference</v>
      </c>
      <c r="J86" s="11">
        <f>IF(tblBank[[#This Row],[MatchedEntry]]="","",INDEX(tblLedger[Amount],MATCH(tblBank[[#This Row],[MatchedEntry]],tblLedger[Entry],0)))</f>
        <v>-277.22000000000003</v>
      </c>
      <c r="K86" s="11">
        <f>IF(tblBank[[#This Row],[MatchedEntry]]="",0,ROUND(tblBank[[#This Row],[Amount]]-tblBank[[#This Row],[BookAmount]],2))</f>
        <v>0</v>
      </c>
      <c r="L86" s="10" t="str">
        <f>IF(tblBank[[#This Row],[MatchedEntry]]="","Not in books",IF(tblBank[[#This Row],[Difference]]&lt;&gt;0,"Amount difference","Matched"))</f>
        <v>Matched</v>
      </c>
      <c r="M8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6" s="10" t="str">
        <f>IF(tblBank[[#This Row],[Status]]="Matched","",COUNTIF(INDEX(tblBank[Status],1):tblBank[[#This Row],[Status]],"&lt;&gt;Matched"))</f>
        <v/>
      </c>
    </row>
    <row r="87" spans="1:15" x14ac:dyDescent="0.25">
      <c r="A87" s="10" t="s">
        <v>917</v>
      </c>
      <c r="B87" s="6">
        <v>46001</v>
      </c>
      <c r="C87" s="10" t="s">
        <v>918</v>
      </c>
      <c r="D87" s="10" t="s">
        <v>307</v>
      </c>
      <c r="E87" s="11">
        <v>160.32</v>
      </c>
      <c r="F87" s="10" t="str">
        <f>IF(tblBank[[#This Row],[Reference]]="","",IFERROR(INDEX(tblLedger[Entry],MATCH(tblBank[[#This Row],[Reference]],tblLedger[Reference],0)),""))</f>
        <v>BNK25-01881</v>
      </c>
      <c r="G8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7" s="10" t="str">
        <f>IF(tblBank[[#This Row],[RefEntry]]&lt;&gt;"",tblBank[[#This Row],[RefEntry]],tblBank[[#This Row],[AmountEntry]])</f>
        <v>BNK25-01881</v>
      </c>
      <c r="I87" s="10" t="str">
        <f>IF(tblBank[[#This Row],[RefEntry]]&lt;&gt;"","Reference",IF(tblBank[[#This Row],[AmountEntry]]&lt;&gt;"","Amount and date","None"))</f>
        <v>Reference</v>
      </c>
      <c r="J87" s="11">
        <f>IF(tblBank[[#This Row],[MatchedEntry]]="","",INDEX(tblLedger[Amount],MATCH(tblBank[[#This Row],[MatchedEntry]],tblLedger[Entry],0)))</f>
        <v>160.32</v>
      </c>
      <c r="K87" s="11">
        <f>IF(tblBank[[#This Row],[MatchedEntry]]="",0,ROUND(tblBank[[#This Row],[Amount]]-tblBank[[#This Row],[BookAmount]],2))</f>
        <v>0</v>
      </c>
      <c r="L87" s="10" t="str">
        <f>IF(tblBank[[#This Row],[MatchedEntry]]="","Not in books",IF(tblBank[[#This Row],[Difference]]&lt;&gt;0,"Amount difference","Matched"))</f>
        <v>Matched</v>
      </c>
      <c r="M8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7" s="10" t="str">
        <f>IF(tblBank[[#This Row],[Status]]="Matched","",COUNTIF(INDEX(tblBank[Status],1):tblBank[[#This Row],[Status]],"&lt;&gt;Matched"))</f>
        <v/>
      </c>
    </row>
    <row r="88" spans="1:15" x14ac:dyDescent="0.25">
      <c r="A88" s="10" t="s">
        <v>919</v>
      </c>
      <c r="B88" s="6">
        <v>46001</v>
      </c>
      <c r="C88" s="10" t="s">
        <v>920</v>
      </c>
      <c r="D88" s="10" t="s">
        <v>325</v>
      </c>
      <c r="E88" s="11">
        <v>2164.15</v>
      </c>
      <c r="F88" s="10" t="str">
        <f>IF(tblBank[[#This Row],[Reference]]="","",IFERROR(INDEX(tblLedger[Entry],MATCH(tblBank[[#This Row],[Reference]],tblLedger[Reference],0)),""))</f>
        <v>BNK25-01887</v>
      </c>
      <c r="G8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8" s="10" t="str">
        <f>IF(tblBank[[#This Row],[RefEntry]]&lt;&gt;"",tblBank[[#This Row],[RefEntry]],tblBank[[#This Row],[AmountEntry]])</f>
        <v>BNK25-01887</v>
      </c>
      <c r="I88" s="10" t="str">
        <f>IF(tblBank[[#This Row],[RefEntry]]&lt;&gt;"","Reference",IF(tblBank[[#This Row],[AmountEntry]]&lt;&gt;"","Amount and date","None"))</f>
        <v>Reference</v>
      </c>
      <c r="J88" s="11">
        <f>IF(tblBank[[#This Row],[MatchedEntry]]="","",INDEX(tblLedger[Amount],MATCH(tblBank[[#This Row],[MatchedEntry]],tblLedger[Entry],0)))</f>
        <v>2164.15</v>
      </c>
      <c r="K88" s="11">
        <f>IF(tblBank[[#This Row],[MatchedEntry]]="",0,ROUND(tblBank[[#This Row],[Amount]]-tblBank[[#This Row],[BookAmount]],2))</f>
        <v>0</v>
      </c>
      <c r="L88" s="10" t="str">
        <f>IF(tblBank[[#This Row],[MatchedEntry]]="","Not in books",IF(tblBank[[#This Row],[Difference]]&lt;&gt;0,"Amount difference","Matched"))</f>
        <v>Matched</v>
      </c>
      <c r="M8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8" s="10" t="str">
        <f>IF(tblBank[[#This Row],[Status]]="Matched","",COUNTIF(INDEX(tblBank[Status],1):tblBank[[#This Row],[Status]],"&lt;&gt;Matched"))</f>
        <v/>
      </c>
    </row>
    <row r="89" spans="1:15" x14ac:dyDescent="0.25">
      <c r="A89" s="10" t="s">
        <v>921</v>
      </c>
      <c r="B89" s="6">
        <v>46001</v>
      </c>
      <c r="C89" s="10" t="s">
        <v>922</v>
      </c>
      <c r="D89" s="10" t="s">
        <v>304</v>
      </c>
      <c r="E89" s="11">
        <v>12352.26</v>
      </c>
      <c r="F89" s="10" t="str">
        <f>IF(tblBank[[#This Row],[Reference]]="","",IFERROR(INDEX(tblLedger[Entry],MATCH(tblBank[[#This Row],[Reference]],tblLedger[Reference],0)),""))</f>
        <v>BNK25-01880</v>
      </c>
      <c r="G8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89" s="10" t="str">
        <f>IF(tblBank[[#This Row],[RefEntry]]&lt;&gt;"",tblBank[[#This Row],[RefEntry]],tblBank[[#This Row],[AmountEntry]])</f>
        <v>BNK25-01880</v>
      </c>
      <c r="I89" s="10" t="str">
        <f>IF(tblBank[[#This Row],[RefEntry]]&lt;&gt;"","Reference",IF(tblBank[[#This Row],[AmountEntry]]&lt;&gt;"","Amount and date","None"))</f>
        <v>Reference</v>
      </c>
      <c r="J89" s="11">
        <f>IF(tblBank[[#This Row],[MatchedEntry]]="","",INDEX(tblLedger[Amount],MATCH(tblBank[[#This Row],[MatchedEntry]],tblLedger[Entry],0)))</f>
        <v>12352.26</v>
      </c>
      <c r="K89" s="11">
        <f>IF(tblBank[[#This Row],[MatchedEntry]]="",0,ROUND(tblBank[[#This Row],[Amount]]-tblBank[[#This Row],[BookAmount]],2))</f>
        <v>0</v>
      </c>
      <c r="L89" s="10" t="str">
        <f>IF(tblBank[[#This Row],[MatchedEntry]]="","Not in books",IF(tblBank[[#This Row],[Difference]]&lt;&gt;0,"Amount difference","Matched"))</f>
        <v>Matched</v>
      </c>
      <c r="M8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8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89" s="10" t="str">
        <f>IF(tblBank[[#This Row],[Status]]="Matched","",COUNTIF(INDEX(tblBank[Status],1):tblBank[[#This Row],[Status]],"&lt;&gt;Matched"))</f>
        <v/>
      </c>
    </row>
    <row r="90" spans="1:15" x14ac:dyDescent="0.25">
      <c r="A90" s="10" t="s">
        <v>923</v>
      </c>
      <c r="B90" s="6">
        <v>46001</v>
      </c>
      <c r="C90" s="10" t="s">
        <v>924</v>
      </c>
      <c r="D90" s="10" t="s">
        <v>328</v>
      </c>
      <c r="E90" s="11">
        <v>2104.63</v>
      </c>
      <c r="F90" s="10" t="str">
        <f>IF(tblBank[[#This Row],[Reference]]="","",IFERROR(INDEX(tblLedger[Entry],MATCH(tblBank[[#This Row],[Reference]],tblLedger[Reference],0)),""))</f>
        <v>BNK25-01888</v>
      </c>
      <c r="G9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0" s="10" t="str">
        <f>IF(tblBank[[#This Row],[RefEntry]]&lt;&gt;"",tblBank[[#This Row],[RefEntry]],tblBank[[#This Row],[AmountEntry]])</f>
        <v>BNK25-01888</v>
      </c>
      <c r="I90" s="10" t="str">
        <f>IF(tblBank[[#This Row],[RefEntry]]&lt;&gt;"","Reference",IF(tblBank[[#This Row],[AmountEntry]]&lt;&gt;"","Amount and date","None"))</f>
        <v>Reference</v>
      </c>
      <c r="J90" s="11">
        <f>IF(tblBank[[#This Row],[MatchedEntry]]="","",INDEX(tblLedger[Amount],MATCH(tblBank[[#This Row],[MatchedEntry]],tblLedger[Entry],0)))</f>
        <v>2104.63</v>
      </c>
      <c r="K90" s="11">
        <f>IF(tblBank[[#This Row],[MatchedEntry]]="",0,ROUND(tblBank[[#This Row],[Amount]]-tblBank[[#This Row],[BookAmount]],2))</f>
        <v>0</v>
      </c>
      <c r="L90" s="10" t="str">
        <f>IF(tblBank[[#This Row],[MatchedEntry]]="","Not in books",IF(tblBank[[#This Row],[Difference]]&lt;&gt;0,"Amount difference","Matched"))</f>
        <v>Matched</v>
      </c>
      <c r="M9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0" s="10" t="str">
        <f>IF(tblBank[[#This Row],[Status]]="Matched","",COUNTIF(INDEX(tblBank[Status],1):tblBank[[#This Row],[Status]],"&lt;&gt;Matched"))</f>
        <v/>
      </c>
    </row>
    <row r="91" spans="1:15" x14ac:dyDescent="0.25">
      <c r="A91" s="10" t="s">
        <v>925</v>
      </c>
      <c r="B91" s="6">
        <v>46001</v>
      </c>
      <c r="C91" s="10" t="s">
        <v>926</v>
      </c>
      <c r="D91" s="10" t="s">
        <v>310</v>
      </c>
      <c r="E91" s="11">
        <v>1310.77</v>
      </c>
      <c r="F91" s="10" t="str">
        <f>IF(tblBank[[#This Row],[Reference]]="","",IFERROR(INDEX(tblLedger[Entry],MATCH(tblBank[[#This Row],[Reference]],tblLedger[Reference],0)),""))</f>
        <v>BNK25-01882</v>
      </c>
      <c r="G9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1" s="10" t="str">
        <f>IF(tblBank[[#This Row],[RefEntry]]&lt;&gt;"",tblBank[[#This Row],[RefEntry]],tblBank[[#This Row],[AmountEntry]])</f>
        <v>BNK25-01882</v>
      </c>
      <c r="I91" s="10" t="str">
        <f>IF(tblBank[[#This Row],[RefEntry]]&lt;&gt;"","Reference",IF(tblBank[[#This Row],[AmountEntry]]&lt;&gt;"","Amount and date","None"))</f>
        <v>Reference</v>
      </c>
      <c r="J91" s="11">
        <f>IF(tblBank[[#This Row],[MatchedEntry]]="","",INDEX(tblLedger[Amount],MATCH(tblBank[[#This Row],[MatchedEntry]],tblLedger[Entry],0)))</f>
        <v>1310.77</v>
      </c>
      <c r="K91" s="11">
        <f>IF(tblBank[[#This Row],[MatchedEntry]]="",0,ROUND(tblBank[[#This Row],[Amount]]-tblBank[[#This Row],[BookAmount]],2))</f>
        <v>0</v>
      </c>
      <c r="L91" s="10" t="str">
        <f>IF(tblBank[[#This Row],[MatchedEntry]]="","Not in books",IF(tblBank[[#This Row],[Difference]]&lt;&gt;0,"Amount difference","Matched"))</f>
        <v>Matched</v>
      </c>
      <c r="M9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1" s="10" t="str">
        <f>IF(tblBank[[#This Row],[Status]]="Matched","",COUNTIF(INDEX(tblBank[Status],1):tblBank[[#This Row],[Status]],"&lt;&gt;Matched"))</f>
        <v/>
      </c>
    </row>
    <row r="92" spans="1:15" x14ac:dyDescent="0.25">
      <c r="A92" s="10" t="s">
        <v>927</v>
      </c>
      <c r="B92" s="6">
        <v>46002</v>
      </c>
      <c r="C92" s="10" t="s">
        <v>928</v>
      </c>
      <c r="D92" s="10" t="s">
        <v>322</v>
      </c>
      <c r="E92" s="11">
        <v>-112.76</v>
      </c>
      <c r="F92" s="10" t="str">
        <f>IF(tblBank[[#This Row],[Reference]]="","",IFERROR(INDEX(tblLedger[Entry],MATCH(tblBank[[#This Row],[Reference]],tblLedger[Reference],0)),""))</f>
        <v>BNK25-01886</v>
      </c>
      <c r="G9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2" s="10" t="str">
        <f>IF(tblBank[[#This Row],[RefEntry]]&lt;&gt;"",tblBank[[#This Row],[RefEntry]],tblBank[[#This Row],[AmountEntry]])</f>
        <v>BNK25-01886</v>
      </c>
      <c r="I92" s="10" t="str">
        <f>IF(tblBank[[#This Row],[RefEntry]]&lt;&gt;"","Reference",IF(tblBank[[#This Row],[AmountEntry]]&lt;&gt;"","Amount and date","None"))</f>
        <v>Reference</v>
      </c>
      <c r="J92" s="11">
        <f>IF(tblBank[[#This Row],[MatchedEntry]]="","",INDEX(tblLedger[Amount],MATCH(tblBank[[#This Row],[MatchedEntry]],tblLedger[Entry],0)))</f>
        <v>-112.76</v>
      </c>
      <c r="K92" s="11">
        <f>IF(tblBank[[#This Row],[MatchedEntry]]="",0,ROUND(tblBank[[#This Row],[Amount]]-tblBank[[#This Row],[BookAmount]],2))</f>
        <v>0</v>
      </c>
      <c r="L92" s="10" t="str">
        <f>IF(tblBank[[#This Row],[MatchedEntry]]="","Not in books",IF(tblBank[[#This Row],[Difference]]&lt;&gt;0,"Amount difference","Matched"))</f>
        <v>Matched</v>
      </c>
      <c r="M9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2" s="10" t="str">
        <f>IF(tblBank[[#This Row],[Status]]="Matched","",COUNTIF(INDEX(tblBank[Status],1):tblBank[[#This Row],[Status]],"&lt;&gt;Matched"))</f>
        <v/>
      </c>
    </row>
    <row r="93" spans="1:15" x14ac:dyDescent="0.25">
      <c r="A93" s="10" t="s">
        <v>929</v>
      </c>
      <c r="B93" s="6">
        <v>46002</v>
      </c>
      <c r="C93" s="10" t="s">
        <v>930</v>
      </c>
      <c r="D93" s="10" t="s">
        <v>301</v>
      </c>
      <c r="E93" s="11">
        <v>-284.35000000000002</v>
      </c>
      <c r="F93" s="10" t="str">
        <f>IF(tblBank[[#This Row],[Reference]]="","",IFERROR(INDEX(tblLedger[Entry],MATCH(tblBank[[#This Row],[Reference]],tblLedger[Reference],0)),""))</f>
        <v>BNK25-01879</v>
      </c>
      <c r="G9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3" s="10" t="str">
        <f>IF(tblBank[[#This Row],[RefEntry]]&lt;&gt;"",tblBank[[#This Row],[RefEntry]],tblBank[[#This Row],[AmountEntry]])</f>
        <v>BNK25-01879</v>
      </c>
      <c r="I93" s="10" t="str">
        <f>IF(tblBank[[#This Row],[RefEntry]]&lt;&gt;"","Reference",IF(tblBank[[#This Row],[AmountEntry]]&lt;&gt;"","Amount and date","None"))</f>
        <v>Reference</v>
      </c>
      <c r="J93" s="11">
        <f>IF(tblBank[[#This Row],[MatchedEntry]]="","",INDEX(tblLedger[Amount],MATCH(tblBank[[#This Row],[MatchedEntry]],tblLedger[Entry],0)))</f>
        <v>-284.35000000000002</v>
      </c>
      <c r="K93" s="11">
        <f>IF(tblBank[[#This Row],[MatchedEntry]]="",0,ROUND(tblBank[[#This Row],[Amount]]-tblBank[[#This Row],[BookAmount]],2))</f>
        <v>0</v>
      </c>
      <c r="L93" s="10" t="str">
        <f>IF(tblBank[[#This Row],[MatchedEntry]]="","Not in books",IF(tblBank[[#This Row],[Difference]]&lt;&gt;0,"Amount difference","Matched"))</f>
        <v>Matched</v>
      </c>
      <c r="M9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3" s="10" t="str">
        <f>IF(tblBank[[#This Row],[Status]]="Matched","",COUNTIF(INDEX(tblBank[Status],1):tblBank[[#This Row],[Status]],"&lt;&gt;Matched"))</f>
        <v/>
      </c>
    </row>
    <row r="94" spans="1:15" x14ac:dyDescent="0.25">
      <c r="A94" s="10" t="s">
        <v>931</v>
      </c>
      <c r="B94" s="6">
        <v>46002</v>
      </c>
      <c r="C94" s="10" t="s">
        <v>932</v>
      </c>
      <c r="D94" s="10" t="s">
        <v>298</v>
      </c>
      <c r="E94" s="11">
        <v>-29.92</v>
      </c>
      <c r="F94" s="10" t="str">
        <f>IF(tblBank[[#This Row],[Reference]]="","",IFERROR(INDEX(tblLedger[Entry],MATCH(tblBank[[#This Row],[Reference]],tblLedger[Reference],0)),""))</f>
        <v>BNK25-01878</v>
      </c>
      <c r="G9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4" s="10" t="str">
        <f>IF(tblBank[[#This Row],[RefEntry]]&lt;&gt;"",tblBank[[#This Row],[RefEntry]],tblBank[[#This Row],[AmountEntry]])</f>
        <v>BNK25-01878</v>
      </c>
      <c r="I94" s="10" t="str">
        <f>IF(tblBank[[#This Row],[RefEntry]]&lt;&gt;"","Reference",IF(tblBank[[#This Row],[AmountEntry]]&lt;&gt;"","Amount and date","None"))</f>
        <v>Reference</v>
      </c>
      <c r="J94" s="11">
        <f>IF(tblBank[[#This Row],[MatchedEntry]]="","",INDEX(tblLedger[Amount],MATCH(tblBank[[#This Row],[MatchedEntry]],tblLedger[Entry],0)))</f>
        <v>-29.92</v>
      </c>
      <c r="K94" s="11">
        <f>IF(tblBank[[#This Row],[MatchedEntry]]="",0,ROUND(tblBank[[#This Row],[Amount]]-tblBank[[#This Row],[BookAmount]],2))</f>
        <v>0</v>
      </c>
      <c r="L94" s="10" t="str">
        <f>IF(tblBank[[#This Row],[MatchedEntry]]="","Not in books",IF(tblBank[[#This Row],[Difference]]&lt;&gt;0,"Amount difference","Matched"))</f>
        <v>Matched</v>
      </c>
      <c r="M9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4" s="10" t="str">
        <f>IF(tblBank[[#This Row],[Status]]="Matched","",COUNTIF(INDEX(tblBank[Status],1):tblBank[[#This Row],[Status]],"&lt;&gt;Matched"))</f>
        <v/>
      </c>
    </row>
    <row r="95" spans="1:15" x14ac:dyDescent="0.25">
      <c r="A95" s="10" t="s">
        <v>933</v>
      </c>
      <c r="B95" s="6">
        <v>46002</v>
      </c>
      <c r="C95" s="10" t="s">
        <v>934</v>
      </c>
      <c r="D95" s="10" t="s">
        <v>337</v>
      </c>
      <c r="E95" s="11">
        <v>2092.62</v>
      </c>
      <c r="F95" s="10" t="str">
        <f>IF(tblBank[[#This Row],[Reference]]="","",IFERROR(INDEX(tblLedger[Entry],MATCH(tblBank[[#This Row],[Reference]],tblLedger[Reference],0)),""))</f>
        <v>BNK25-01891</v>
      </c>
      <c r="G9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5" s="10" t="str">
        <f>IF(tblBank[[#This Row],[RefEntry]]&lt;&gt;"",tblBank[[#This Row],[RefEntry]],tblBank[[#This Row],[AmountEntry]])</f>
        <v>BNK25-01891</v>
      </c>
      <c r="I95" s="10" t="str">
        <f>IF(tblBank[[#This Row],[RefEntry]]&lt;&gt;"","Reference",IF(tblBank[[#This Row],[AmountEntry]]&lt;&gt;"","Amount and date","None"))</f>
        <v>Reference</v>
      </c>
      <c r="J95" s="11">
        <f>IF(tblBank[[#This Row],[MatchedEntry]]="","",INDEX(tblLedger[Amount],MATCH(tblBank[[#This Row],[MatchedEntry]],tblLedger[Entry],0)))</f>
        <v>2092.62</v>
      </c>
      <c r="K95" s="11">
        <f>IF(tblBank[[#This Row],[MatchedEntry]]="",0,ROUND(tblBank[[#This Row],[Amount]]-tblBank[[#This Row],[BookAmount]],2))</f>
        <v>0</v>
      </c>
      <c r="L95" s="10" t="str">
        <f>IF(tblBank[[#This Row],[MatchedEntry]]="","Not in books",IF(tblBank[[#This Row],[Difference]]&lt;&gt;0,"Amount difference","Matched"))</f>
        <v>Matched</v>
      </c>
      <c r="M9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5" s="10" t="str">
        <f>IF(tblBank[[#This Row],[Status]]="Matched","",COUNTIF(INDEX(tblBank[Status],1):tblBank[[#This Row],[Status]],"&lt;&gt;Matched"))</f>
        <v/>
      </c>
    </row>
    <row r="96" spans="1:15" x14ac:dyDescent="0.25">
      <c r="A96" s="10" t="s">
        <v>935</v>
      </c>
      <c r="B96" s="6">
        <v>46002</v>
      </c>
      <c r="C96" s="10" t="s">
        <v>936</v>
      </c>
      <c r="D96" s="10" t="s">
        <v>331</v>
      </c>
      <c r="E96" s="11">
        <v>10061.049999999999</v>
      </c>
      <c r="F96" s="10" t="str">
        <f>IF(tblBank[[#This Row],[Reference]]="","",IFERROR(INDEX(tblLedger[Entry],MATCH(tblBank[[#This Row],[Reference]],tblLedger[Reference],0)),""))</f>
        <v>BNK25-01889</v>
      </c>
      <c r="G9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6" s="10" t="str">
        <f>IF(tblBank[[#This Row],[RefEntry]]&lt;&gt;"",tblBank[[#This Row],[RefEntry]],tblBank[[#This Row],[AmountEntry]])</f>
        <v>BNK25-01889</v>
      </c>
      <c r="I96" s="10" t="str">
        <f>IF(tblBank[[#This Row],[RefEntry]]&lt;&gt;"","Reference",IF(tblBank[[#This Row],[AmountEntry]]&lt;&gt;"","Amount and date","None"))</f>
        <v>Reference</v>
      </c>
      <c r="J96" s="11">
        <f>IF(tblBank[[#This Row],[MatchedEntry]]="","",INDEX(tblLedger[Amount],MATCH(tblBank[[#This Row],[MatchedEntry]],tblLedger[Entry],0)))</f>
        <v>10061.049999999999</v>
      </c>
      <c r="K96" s="11">
        <f>IF(tblBank[[#This Row],[MatchedEntry]]="",0,ROUND(tblBank[[#This Row],[Amount]]-tblBank[[#This Row],[BookAmount]],2))</f>
        <v>0</v>
      </c>
      <c r="L96" s="10" t="str">
        <f>IF(tblBank[[#This Row],[MatchedEntry]]="","Not in books",IF(tblBank[[#This Row],[Difference]]&lt;&gt;0,"Amount difference","Matched"))</f>
        <v>Matched</v>
      </c>
      <c r="M9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6" s="10" t="str">
        <f>IF(tblBank[[#This Row],[Status]]="Matched","",COUNTIF(INDEX(tblBank[Status],1):tblBank[[#This Row],[Status]],"&lt;&gt;Matched"))</f>
        <v/>
      </c>
    </row>
    <row r="97" spans="1:15" x14ac:dyDescent="0.25">
      <c r="A97" s="10" t="s">
        <v>937</v>
      </c>
      <c r="B97" s="6">
        <v>46002</v>
      </c>
      <c r="C97" s="10" t="s">
        <v>938</v>
      </c>
      <c r="D97" s="10" t="s">
        <v>334</v>
      </c>
      <c r="E97" s="11">
        <v>126.28</v>
      </c>
      <c r="F97" s="10" t="str">
        <f>IF(tblBank[[#This Row],[Reference]]="","",IFERROR(INDEX(tblLedger[Entry],MATCH(tblBank[[#This Row],[Reference]],tblLedger[Reference],0)),""))</f>
        <v>BNK25-01890</v>
      </c>
      <c r="G9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7" s="10" t="str">
        <f>IF(tblBank[[#This Row],[RefEntry]]&lt;&gt;"",tblBank[[#This Row],[RefEntry]],tblBank[[#This Row],[AmountEntry]])</f>
        <v>BNK25-01890</v>
      </c>
      <c r="I97" s="10" t="str">
        <f>IF(tblBank[[#This Row],[RefEntry]]&lt;&gt;"","Reference",IF(tblBank[[#This Row],[AmountEntry]]&lt;&gt;"","Amount and date","None"))</f>
        <v>Reference</v>
      </c>
      <c r="J97" s="11">
        <f>IF(tblBank[[#This Row],[MatchedEntry]]="","",INDEX(tblLedger[Amount],MATCH(tblBank[[#This Row],[MatchedEntry]],tblLedger[Entry],0)))</f>
        <v>126.28</v>
      </c>
      <c r="K97" s="11">
        <f>IF(tblBank[[#This Row],[MatchedEntry]]="",0,ROUND(tblBank[[#This Row],[Amount]]-tblBank[[#This Row],[BookAmount]],2))</f>
        <v>0</v>
      </c>
      <c r="L97" s="10" t="str">
        <f>IF(tblBank[[#This Row],[MatchedEntry]]="","Not in books",IF(tblBank[[#This Row],[Difference]]&lt;&gt;0,"Amount difference","Matched"))</f>
        <v>Matched</v>
      </c>
      <c r="M9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7" s="10" t="str">
        <f>IF(tblBank[[#This Row],[Status]]="Matched","",COUNTIF(INDEX(tblBank[Status],1):tblBank[[#This Row],[Status]],"&lt;&gt;Matched"))</f>
        <v/>
      </c>
    </row>
    <row r="98" spans="1:15" x14ac:dyDescent="0.25">
      <c r="A98" s="10" t="s">
        <v>939</v>
      </c>
      <c r="B98" s="6">
        <v>46003</v>
      </c>
      <c r="C98" s="10" t="s">
        <v>940</v>
      </c>
      <c r="D98" s="10" t="s">
        <v>313</v>
      </c>
      <c r="E98" s="11">
        <v>-164.98</v>
      </c>
      <c r="F98" s="10" t="str">
        <f>IF(tblBank[[#This Row],[Reference]]="","",IFERROR(INDEX(tblLedger[Entry],MATCH(tblBank[[#This Row],[Reference]],tblLedger[Reference],0)),""))</f>
        <v>BNK25-01883</v>
      </c>
      <c r="G9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8" s="10" t="str">
        <f>IF(tblBank[[#This Row],[RefEntry]]&lt;&gt;"",tblBank[[#This Row],[RefEntry]],tblBank[[#This Row],[AmountEntry]])</f>
        <v>BNK25-01883</v>
      </c>
      <c r="I98" s="10" t="str">
        <f>IF(tblBank[[#This Row],[RefEntry]]&lt;&gt;"","Reference",IF(tblBank[[#This Row],[AmountEntry]]&lt;&gt;"","Amount and date","None"))</f>
        <v>Reference</v>
      </c>
      <c r="J98" s="11">
        <f>IF(tblBank[[#This Row],[MatchedEntry]]="","",INDEX(tblLedger[Amount],MATCH(tblBank[[#This Row],[MatchedEntry]],tblLedger[Entry],0)))</f>
        <v>-164.98</v>
      </c>
      <c r="K98" s="11">
        <f>IF(tblBank[[#This Row],[MatchedEntry]]="",0,ROUND(tblBank[[#This Row],[Amount]]-tblBank[[#This Row],[BookAmount]],2))</f>
        <v>0</v>
      </c>
      <c r="L98" s="10" t="str">
        <f>IF(tblBank[[#This Row],[MatchedEntry]]="","Not in books",IF(tblBank[[#This Row],[Difference]]&lt;&gt;0,"Amount difference","Matched"))</f>
        <v>Matched</v>
      </c>
      <c r="M9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8" s="10" t="str">
        <f>IF(tblBank[[#This Row],[Status]]="Matched","",COUNTIF(INDEX(tblBank[Status],1):tblBank[[#This Row],[Status]],"&lt;&gt;Matched"))</f>
        <v/>
      </c>
    </row>
    <row r="99" spans="1:15" x14ac:dyDescent="0.25">
      <c r="A99" s="10" t="s">
        <v>941</v>
      </c>
      <c r="B99" s="6">
        <v>46003</v>
      </c>
      <c r="C99" s="10" t="s">
        <v>942</v>
      </c>
      <c r="D99" s="10" t="s">
        <v>319</v>
      </c>
      <c r="E99" s="11">
        <v>-350.04</v>
      </c>
      <c r="F99" s="10" t="str">
        <f>IF(tblBank[[#This Row],[Reference]]="","",IFERROR(INDEX(tblLedger[Entry],MATCH(tblBank[[#This Row],[Reference]],tblLedger[Reference],0)),""))</f>
        <v>BNK25-01885</v>
      </c>
      <c r="G9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99" s="10" t="str">
        <f>IF(tblBank[[#This Row],[RefEntry]]&lt;&gt;"",tblBank[[#This Row],[RefEntry]],tblBank[[#This Row],[AmountEntry]])</f>
        <v>BNK25-01885</v>
      </c>
      <c r="I99" s="10" t="str">
        <f>IF(tblBank[[#This Row],[RefEntry]]&lt;&gt;"","Reference",IF(tblBank[[#This Row],[AmountEntry]]&lt;&gt;"","Amount and date","None"))</f>
        <v>Reference</v>
      </c>
      <c r="J99" s="11">
        <f>IF(tblBank[[#This Row],[MatchedEntry]]="","",INDEX(tblLedger[Amount],MATCH(tblBank[[#This Row],[MatchedEntry]],tblLedger[Entry],0)))</f>
        <v>-350.04</v>
      </c>
      <c r="K99" s="11">
        <f>IF(tblBank[[#This Row],[MatchedEntry]]="",0,ROUND(tblBank[[#This Row],[Amount]]-tblBank[[#This Row],[BookAmount]],2))</f>
        <v>0</v>
      </c>
      <c r="L99" s="10" t="str">
        <f>IF(tblBank[[#This Row],[MatchedEntry]]="","Not in books",IF(tblBank[[#This Row],[Difference]]&lt;&gt;0,"Amount difference","Matched"))</f>
        <v>Matched</v>
      </c>
      <c r="M9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9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99" s="10" t="str">
        <f>IF(tblBank[[#This Row],[Status]]="Matched","",COUNTIF(INDEX(tblBank[Status],1):tblBank[[#This Row],[Status]],"&lt;&gt;Matched"))</f>
        <v/>
      </c>
    </row>
    <row r="100" spans="1:15" x14ac:dyDescent="0.25">
      <c r="A100" s="10" t="s">
        <v>943</v>
      </c>
      <c r="B100" s="6">
        <v>46003</v>
      </c>
      <c r="C100" s="10" t="s">
        <v>944</v>
      </c>
      <c r="D100" s="10" t="s">
        <v>349</v>
      </c>
      <c r="E100" s="11">
        <v>23555.32</v>
      </c>
      <c r="F100" s="10" t="str">
        <f>IF(tblBank[[#This Row],[Reference]]="","",IFERROR(INDEX(tblLedger[Entry],MATCH(tblBank[[#This Row],[Reference]],tblLedger[Reference],0)),""))</f>
        <v>BNK25-01895</v>
      </c>
      <c r="G10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0" s="10" t="str">
        <f>IF(tblBank[[#This Row],[RefEntry]]&lt;&gt;"",tblBank[[#This Row],[RefEntry]],tblBank[[#This Row],[AmountEntry]])</f>
        <v>BNK25-01895</v>
      </c>
      <c r="I100" s="10" t="str">
        <f>IF(tblBank[[#This Row],[RefEntry]]&lt;&gt;"","Reference",IF(tblBank[[#This Row],[AmountEntry]]&lt;&gt;"","Amount and date","None"))</f>
        <v>Reference</v>
      </c>
      <c r="J100" s="11">
        <f>IF(tblBank[[#This Row],[MatchedEntry]]="","",INDEX(tblLedger[Amount],MATCH(tblBank[[#This Row],[MatchedEntry]],tblLedger[Entry],0)))</f>
        <v>23555.32</v>
      </c>
      <c r="K100" s="11">
        <f>IF(tblBank[[#This Row],[MatchedEntry]]="",0,ROUND(tblBank[[#This Row],[Amount]]-tblBank[[#This Row],[BookAmount]],2))</f>
        <v>0</v>
      </c>
      <c r="L100" s="10" t="str">
        <f>IF(tblBank[[#This Row],[MatchedEntry]]="","Not in books",IF(tblBank[[#This Row],[Difference]]&lt;&gt;0,"Amount difference","Matched"))</f>
        <v>Matched</v>
      </c>
      <c r="M10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0" s="10" t="str">
        <f>IF(tblBank[[#This Row],[Status]]="Matched","",COUNTIF(INDEX(tblBank[Status],1):tblBank[[#This Row],[Status]],"&lt;&gt;Matched"))</f>
        <v/>
      </c>
    </row>
    <row r="101" spans="1:15" x14ac:dyDescent="0.25">
      <c r="A101" s="10" t="s">
        <v>945</v>
      </c>
      <c r="B101" s="6">
        <v>46003</v>
      </c>
      <c r="C101" s="10" t="s">
        <v>946</v>
      </c>
      <c r="D101" s="10" t="s">
        <v>343</v>
      </c>
      <c r="E101" s="11">
        <v>751.62</v>
      </c>
      <c r="F101" s="10" t="str">
        <f>IF(tblBank[[#This Row],[Reference]]="","",IFERROR(INDEX(tblLedger[Entry],MATCH(tblBank[[#This Row],[Reference]],tblLedger[Reference],0)),""))</f>
        <v>BNK25-01893</v>
      </c>
      <c r="G10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1" s="10" t="str">
        <f>IF(tblBank[[#This Row],[RefEntry]]&lt;&gt;"",tblBank[[#This Row],[RefEntry]],tblBank[[#This Row],[AmountEntry]])</f>
        <v>BNK25-01893</v>
      </c>
      <c r="I101" s="10" t="str">
        <f>IF(tblBank[[#This Row],[RefEntry]]&lt;&gt;"","Reference",IF(tblBank[[#This Row],[AmountEntry]]&lt;&gt;"","Amount and date","None"))</f>
        <v>Reference</v>
      </c>
      <c r="J101" s="11">
        <f>IF(tblBank[[#This Row],[MatchedEntry]]="","",INDEX(tblLedger[Amount],MATCH(tblBank[[#This Row],[MatchedEntry]],tblLedger[Entry],0)))</f>
        <v>751.62</v>
      </c>
      <c r="K101" s="11">
        <f>IF(tblBank[[#This Row],[MatchedEntry]]="",0,ROUND(tblBank[[#This Row],[Amount]]-tblBank[[#This Row],[BookAmount]],2))</f>
        <v>0</v>
      </c>
      <c r="L101" s="10" t="str">
        <f>IF(tblBank[[#This Row],[MatchedEntry]]="","Not in books",IF(tblBank[[#This Row],[Difference]]&lt;&gt;0,"Amount difference","Matched"))</f>
        <v>Matched</v>
      </c>
      <c r="M10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1" s="10" t="str">
        <f>IF(tblBank[[#This Row],[Status]]="Matched","",COUNTIF(INDEX(tblBank[Status],1):tblBank[[#This Row],[Status]],"&lt;&gt;Matched"))</f>
        <v/>
      </c>
    </row>
    <row r="102" spans="1:15" x14ac:dyDescent="0.25">
      <c r="A102" s="10" t="s">
        <v>947</v>
      </c>
      <c r="B102" s="6">
        <v>46003</v>
      </c>
      <c r="C102" s="10" t="s">
        <v>948</v>
      </c>
      <c r="D102" s="10" t="s">
        <v>806</v>
      </c>
      <c r="E102" s="11">
        <v>4799.3999999999996</v>
      </c>
      <c r="F102" s="10" t="str">
        <f>IF(tblBank[[#This Row],[Reference]]="","",IFERROR(INDEX(tblLedger[Entry],MATCH(tblBank[[#This Row],[Reference]],tblLedger[Reference],0)),""))</f>
        <v/>
      </c>
      <c r="G10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BNK25-01896</v>
      </c>
      <c r="H102" s="10" t="str">
        <f>IF(tblBank[[#This Row],[RefEntry]]&lt;&gt;"",tblBank[[#This Row],[RefEntry]],tblBank[[#This Row],[AmountEntry]])</f>
        <v>BNK25-01896</v>
      </c>
      <c r="I102" s="10" t="str">
        <f>IF(tblBank[[#This Row],[RefEntry]]&lt;&gt;"","Reference",IF(tblBank[[#This Row],[AmountEntry]]&lt;&gt;"","Amount and date","None"))</f>
        <v>Amount and date</v>
      </c>
      <c r="J102" s="11">
        <f>IF(tblBank[[#This Row],[MatchedEntry]]="","",INDEX(tblLedger[Amount],MATCH(tblBank[[#This Row],[MatchedEntry]],tblLedger[Entry],0)))</f>
        <v>4799.3999999999996</v>
      </c>
      <c r="K102" s="11">
        <f>IF(tblBank[[#This Row],[MatchedEntry]]="",0,ROUND(tblBank[[#This Row],[Amount]]-tblBank[[#This Row],[BookAmount]],2))</f>
        <v>0</v>
      </c>
      <c r="L102" s="10" t="str">
        <f>IF(tblBank[[#This Row],[MatchedEntry]]="","Not in books",IF(tblBank[[#This Row],[Difference]]&lt;&gt;0,"Amount difference","Matched"))</f>
        <v>Matched</v>
      </c>
      <c r="M10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2" s="10" t="str">
        <f>IF(tblBank[[#This Row],[Status]]="Matched","",COUNTIF(INDEX(tblBank[Status],1):tblBank[[#This Row],[Status]],"&lt;&gt;Matched"))</f>
        <v/>
      </c>
    </row>
    <row r="103" spans="1:15" x14ac:dyDescent="0.25">
      <c r="A103" s="10" t="s">
        <v>949</v>
      </c>
      <c r="B103" s="6">
        <v>46006</v>
      </c>
      <c r="C103" s="10" t="s">
        <v>950</v>
      </c>
      <c r="D103" s="10" t="s">
        <v>367</v>
      </c>
      <c r="E103" s="11">
        <v>-27394.68</v>
      </c>
      <c r="F103" s="10" t="str">
        <f>IF(tblBank[[#This Row],[Reference]]="","",IFERROR(INDEX(tblLedger[Entry],MATCH(tblBank[[#This Row],[Reference]],tblLedger[Reference],0)),""))</f>
        <v>BNK25-01901</v>
      </c>
      <c r="G10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3" s="10" t="str">
        <f>IF(tblBank[[#This Row],[RefEntry]]&lt;&gt;"",tblBank[[#This Row],[RefEntry]],tblBank[[#This Row],[AmountEntry]])</f>
        <v>BNK25-01901</v>
      </c>
      <c r="I103" s="10" t="str">
        <f>IF(tblBank[[#This Row],[RefEntry]]&lt;&gt;"","Reference",IF(tblBank[[#This Row],[AmountEntry]]&lt;&gt;"","Amount and date","None"))</f>
        <v>Reference</v>
      </c>
      <c r="J103" s="11">
        <f>IF(tblBank[[#This Row],[MatchedEntry]]="","",INDEX(tblLedger[Amount],MATCH(tblBank[[#This Row],[MatchedEntry]],tblLedger[Entry],0)))</f>
        <v>-27394.68</v>
      </c>
      <c r="K103" s="11">
        <f>IF(tblBank[[#This Row],[MatchedEntry]]="",0,ROUND(tblBank[[#This Row],[Amount]]-tblBank[[#This Row],[BookAmount]],2))</f>
        <v>0</v>
      </c>
      <c r="L103" s="10" t="str">
        <f>IF(tblBank[[#This Row],[MatchedEntry]]="","Not in books",IF(tblBank[[#This Row],[Difference]]&lt;&gt;0,"Amount difference","Matched"))</f>
        <v>Matched</v>
      </c>
      <c r="M10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3" s="10" t="str">
        <f>IF(tblBank[[#This Row],[Status]]="Matched","",COUNTIF(INDEX(tblBank[Status],1):tblBank[[#This Row],[Status]],"&lt;&gt;Matched"))</f>
        <v/>
      </c>
    </row>
    <row r="104" spans="1:15" x14ac:dyDescent="0.25">
      <c r="A104" s="10" t="s">
        <v>951</v>
      </c>
      <c r="B104" s="6">
        <v>46006</v>
      </c>
      <c r="C104" s="10" t="s">
        <v>952</v>
      </c>
      <c r="D104" s="10" t="s">
        <v>340</v>
      </c>
      <c r="E104" s="11">
        <v>-6709.33</v>
      </c>
      <c r="F104" s="10" t="str">
        <f>IF(tblBank[[#This Row],[Reference]]="","",IFERROR(INDEX(tblLedger[Entry],MATCH(tblBank[[#This Row],[Reference]],tblLedger[Reference],0)),""))</f>
        <v>BNK25-01892</v>
      </c>
      <c r="G10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4" s="10" t="str">
        <f>IF(tblBank[[#This Row],[RefEntry]]&lt;&gt;"",tblBank[[#This Row],[RefEntry]],tblBank[[#This Row],[AmountEntry]])</f>
        <v>BNK25-01892</v>
      </c>
      <c r="I104" s="10" t="str">
        <f>IF(tblBank[[#This Row],[RefEntry]]&lt;&gt;"","Reference",IF(tblBank[[#This Row],[AmountEntry]]&lt;&gt;"","Amount and date","None"))</f>
        <v>Reference</v>
      </c>
      <c r="J104" s="11">
        <f>IF(tblBank[[#This Row],[MatchedEntry]]="","",INDEX(tblLedger[Amount],MATCH(tblBank[[#This Row],[MatchedEntry]],tblLedger[Entry],0)))</f>
        <v>-6709.33</v>
      </c>
      <c r="K104" s="11">
        <f>IF(tblBank[[#This Row],[MatchedEntry]]="",0,ROUND(tblBank[[#This Row],[Amount]]-tblBank[[#This Row],[BookAmount]],2))</f>
        <v>0</v>
      </c>
      <c r="L104" s="10" t="str">
        <f>IF(tblBank[[#This Row],[MatchedEntry]]="","Not in books",IF(tblBank[[#This Row],[Difference]]&lt;&gt;0,"Amount difference","Matched"))</f>
        <v>Matched</v>
      </c>
      <c r="M10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4" s="10" t="str">
        <f>IF(tblBank[[#This Row],[Status]]="Matched","",COUNTIF(INDEX(tblBank[Status],1):tblBank[[#This Row],[Status]],"&lt;&gt;Matched"))</f>
        <v/>
      </c>
    </row>
    <row r="105" spans="1:15" x14ac:dyDescent="0.25">
      <c r="A105" s="10" t="s">
        <v>953</v>
      </c>
      <c r="B105" s="6">
        <v>46006</v>
      </c>
      <c r="C105" s="10" t="s">
        <v>954</v>
      </c>
      <c r="D105" s="10" t="s">
        <v>415</v>
      </c>
      <c r="E105" s="11">
        <v>-23340.41</v>
      </c>
      <c r="F105" s="10" t="str">
        <f>IF(tblBank[[#This Row],[Reference]]="","",IFERROR(INDEX(tblLedger[Entry],MATCH(tblBank[[#This Row],[Reference]],tblLedger[Reference],0)),""))</f>
        <v>BNK25-01917</v>
      </c>
      <c r="G10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5" s="10" t="str">
        <f>IF(tblBank[[#This Row],[RefEntry]]&lt;&gt;"",tblBank[[#This Row],[RefEntry]],tblBank[[#This Row],[AmountEntry]])</f>
        <v>BNK25-01917</v>
      </c>
      <c r="I105" s="10" t="str">
        <f>IF(tblBank[[#This Row],[RefEntry]]&lt;&gt;"","Reference",IF(tblBank[[#This Row],[AmountEntry]]&lt;&gt;"","Amount and date","None"))</f>
        <v>Reference</v>
      </c>
      <c r="J105" s="11">
        <f>IF(tblBank[[#This Row],[MatchedEntry]]="","",INDEX(tblLedger[Amount],MATCH(tblBank[[#This Row],[MatchedEntry]],tblLedger[Entry],0)))</f>
        <v>-23340.41</v>
      </c>
      <c r="K105" s="11">
        <f>IF(tblBank[[#This Row],[MatchedEntry]]="",0,ROUND(tblBank[[#This Row],[Amount]]-tblBank[[#This Row],[BookAmount]],2))</f>
        <v>0</v>
      </c>
      <c r="L105" s="10" t="str">
        <f>IF(tblBank[[#This Row],[MatchedEntry]]="","Not in books",IF(tblBank[[#This Row],[Difference]]&lt;&gt;0,"Amount difference","Matched"))</f>
        <v>Matched</v>
      </c>
      <c r="M10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5" s="10" t="str">
        <f>IF(tblBank[[#This Row],[Status]]="Matched","",COUNTIF(INDEX(tblBank[Status],1):tblBank[[#This Row],[Status]],"&lt;&gt;Matched"))</f>
        <v/>
      </c>
    </row>
    <row r="106" spans="1:15" x14ac:dyDescent="0.25">
      <c r="A106" s="10" t="s">
        <v>955</v>
      </c>
      <c r="B106" s="6">
        <v>46006</v>
      </c>
      <c r="C106" s="10" t="s">
        <v>956</v>
      </c>
      <c r="D106" s="10" t="s">
        <v>346</v>
      </c>
      <c r="E106" s="11">
        <v>-228.79</v>
      </c>
      <c r="F106" s="10" t="str">
        <f>IF(tblBank[[#This Row],[Reference]]="","",IFERROR(INDEX(tblLedger[Entry],MATCH(tblBank[[#This Row],[Reference]],tblLedger[Reference],0)),""))</f>
        <v>BNK25-01894</v>
      </c>
      <c r="G10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6" s="10" t="str">
        <f>IF(tblBank[[#This Row],[RefEntry]]&lt;&gt;"",tblBank[[#This Row],[RefEntry]],tblBank[[#This Row],[AmountEntry]])</f>
        <v>BNK25-01894</v>
      </c>
      <c r="I106" s="10" t="str">
        <f>IF(tblBank[[#This Row],[RefEntry]]&lt;&gt;"","Reference",IF(tblBank[[#This Row],[AmountEntry]]&lt;&gt;"","Amount and date","None"))</f>
        <v>Reference</v>
      </c>
      <c r="J106" s="11">
        <f>IF(tblBank[[#This Row],[MatchedEntry]]="","",INDEX(tblLedger[Amount],MATCH(tblBank[[#This Row],[MatchedEntry]],tblLedger[Entry],0)))</f>
        <v>-228.79</v>
      </c>
      <c r="K106" s="11">
        <f>IF(tblBank[[#This Row],[MatchedEntry]]="",0,ROUND(tblBank[[#This Row],[Amount]]-tblBank[[#This Row],[BookAmount]],2))</f>
        <v>0</v>
      </c>
      <c r="L106" s="10" t="str">
        <f>IF(tblBank[[#This Row],[MatchedEntry]]="","Not in books",IF(tblBank[[#This Row],[Difference]]&lt;&gt;0,"Amount difference","Matched"))</f>
        <v>Matched</v>
      </c>
      <c r="M10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6" s="10" t="str">
        <f>IF(tblBank[[#This Row],[Status]]="Matched","",COUNTIF(INDEX(tblBank[Status],1):tblBank[[#This Row],[Status]],"&lt;&gt;Matched"))</f>
        <v/>
      </c>
    </row>
    <row r="107" spans="1:15" x14ac:dyDescent="0.25">
      <c r="A107" s="10" t="s">
        <v>957</v>
      </c>
      <c r="B107" s="6">
        <v>46006</v>
      </c>
      <c r="C107" s="10" t="s">
        <v>958</v>
      </c>
      <c r="D107" s="10" t="s">
        <v>409</v>
      </c>
      <c r="E107" s="11">
        <v>962.26</v>
      </c>
      <c r="F107" s="10" t="str">
        <f>IF(tblBank[[#This Row],[Reference]]="","",IFERROR(INDEX(tblLedger[Entry],MATCH(tblBank[[#This Row],[Reference]],tblLedger[Reference],0)),""))</f>
        <v>BNK25-01915</v>
      </c>
      <c r="G10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7" s="10" t="str">
        <f>IF(tblBank[[#This Row],[RefEntry]]&lt;&gt;"",tblBank[[#This Row],[RefEntry]],tblBank[[#This Row],[AmountEntry]])</f>
        <v>BNK25-01915</v>
      </c>
      <c r="I107" s="10" t="str">
        <f>IF(tblBank[[#This Row],[RefEntry]]&lt;&gt;"","Reference",IF(tblBank[[#This Row],[AmountEntry]]&lt;&gt;"","Amount and date","None"))</f>
        <v>Reference</v>
      </c>
      <c r="J107" s="11">
        <f>IF(tblBank[[#This Row],[MatchedEntry]]="","",INDEX(tblLedger[Amount],MATCH(tblBank[[#This Row],[MatchedEntry]],tblLedger[Entry],0)))</f>
        <v>962.26</v>
      </c>
      <c r="K107" s="11">
        <f>IF(tblBank[[#This Row],[MatchedEntry]]="",0,ROUND(tblBank[[#This Row],[Amount]]-tblBank[[#This Row],[BookAmount]],2))</f>
        <v>0</v>
      </c>
      <c r="L107" s="10" t="str">
        <f>IF(tblBank[[#This Row],[MatchedEntry]]="","Not in books",IF(tblBank[[#This Row],[Difference]]&lt;&gt;0,"Amount difference","Matched"))</f>
        <v>Matched</v>
      </c>
      <c r="M10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7" s="10" t="str">
        <f>IF(tblBank[[#This Row],[Status]]="Matched","",COUNTIF(INDEX(tblBank[Status],1):tblBank[[#This Row],[Status]],"&lt;&gt;Matched"))</f>
        <v/>
      </c>
    </row>
    <row r="108" spans="1:15" x14ac:dyDescent="0.25">
      <c r="A108" s="10" t="s">
        <v>959</v>
      </c>
      <c r="B108" s="6">
        <v>46006</v>
      </c>
      <c r="C108" s="10" t="s">
        <v>960</v>
      </c>
      <c r="D108" s="10" t="s">
        <v>382</v>
      </c>
      <c r="E108" s="11">
        <v>659.23</v>
      </c>
      <c r="F108" s="10" t="str">
        <f>IF(tblBank[[#This Row],[Reference]]="","",IFERROR(INDEX(tblLedger[Entry],MATCH(tblBank[[#This Row],[Reference]],tblLedger[Reference],0)),""))</f>
        <v>BNK25-01906</v>
      </c>
      <c r="G10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8" s="10" t="str">
        <f>IF(tblBank[[#This Row],[RefEntry]]&lt;&gt;"",tblBank[[#This Row],[RefEntry]],tblBank[[#This Row],[AmountEntry]])</f>
        <v>BNK25-01906</v>
      </c>
      <c r="I108" s="10" t="str">
        <f>IF(tblBank[[#This Row],[RefEntry]]&lt;&gt;"","Reference",IF(tblBank[[#This Row],[AmountEntry]]&lt;&gt;"","Amount and date","None"))</f>
        <v>Reference</v>
      </c>
      <c r="J108" s="11">
        <f>IF(tblBank[[#This Row],[MatchedEntry]]="","",INDEX(tblLedger[Amount],MATCH(tblBank[[#This Row],[MatchedEntry]],tblLedger[Entry],0)))</f>
        <v>659.23</v>
      </c>
      <c r="K108" s="11">
        <f>IF(tblBank[[#This Row],[MatchedEntry]]="",0,ROUND(tblBank[[#This Row],[Amount]]-tblBank[[#This Row],[BookAmount]],2))</f>
        <v>0</v>
      </c>
      <c r="L108" s="10" t="str">
        <f>IF(tblBank[[#This Row],[MatchedEntry]]="","Not in books",IF(tblBank[[#This Row],[Difference]]&lt;&gt;0,"Amount difference","Matched"))</f>
        <v>Matched</v>
      </c>
      <c r="M10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8" s="10" t="str">
        <f>IF(tblBank[[#This Row],[Status]]="Matched","",COUNTIF(INDEX(tblBank[Status],1):tblBank[[#This Row],[Status]],"&lt;&gt;Matched"))</f>
        <v/>
      </c>
    </row>
    <row r="109" spans="1:15" x14ac:dyDescent="0.25">
      <c r="A109" s="10" t="s">
        <v>961</v>
      </c>
      <c r="B109" s="6">
        <v>46006</v>
      </c>
      <c r="C109" s="10" t="s">
        <v>962</v>
      </c>
      <c r="D109" s="10" t="s">
        <v>421</v>
      </c>
      <c r="E109" s="11">
        <v>1449.53</v>
      </c>
      <c r="F109" s="10" t="str">
        <f>IF(tblBank[[#This Row],[Reference]]="","",IFERROR(INDEX(tblLedger[Entry],MATCH(tblBank[[#This Row],[Reference]],tblLedger[Reference],0)),""))</f>
        <v>BNK25-01919</v>
      </c>
      <c r="G10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09" s="10" t="str">
        <f>IF(tblBank[[#This Row],[RefEntry]]&lt;&gt;"",tblBank[[#This Row],[RefEntry]],tblBank[[#This Row],[AmountEntry]])</f>
        <v>BNK25-01919</v>
      </c>
      <c r="I109" s="10" t="str">
        <f>IF(tblBank[[#This Row],[RefEntry]]&lt;&gt;"","Reference",IF(tblBank[[#This Row],[AmountEntry]]&lt;&gt;"","Amount and date","None"))</f>
        <v>Reference</v>
      </c>
      <c r="J109" s="11">
        <f>IF(tblBank[[#This Row],[MatchedEntry]]="","",INDEX(tblLedger[Amount],MATCH(tblBank[[#This Row],[MatchedEntry]],tblLedger[Entry],0)))</f>
        <v>1449.53</v>
      </c>
      <c r="K109" s="11">
        <f>IF(tblBank[[#This Row],[MatchedEntry]]="",0,ROUND(tblBank[[#This Row],[Amount]]-tblBank[[#This Row],[BookAmount]],2))</f>
        <v>0</v>
      </c>
      <c r="L109" s="10" t="str">
        <f>IF(tblBank[[#This Row],[MatchedEntry]]="","Not in books",IF(tblBank[[#This Row],[Difference]]&lt;&gt;0,"Amount difference","Matched"))</f>
        <v>Matched</v>
      </c>
      <c r="M10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0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09" s="10" t="str">
        <f>IF(tblBank[[#This Row],[Status]]="Matched","",COUNTIF(INDEX(tblBank[Status],1):tblBank[[#This Row],[Status]],"&lt;&gt;Matched"))</f>
        <v/>
      </c>
    </row>
    <row r="110" spans="1:15" x14ac:dyDescent="0.25">
      <c r="A110" s="10" t="s">
        <v>963</v>
      </c>
      <c r="B110" s="6">
        <v>46006</v>
      </c>
      <c r="C110" s="10" t="s">
        <v>964</v>
      </c>
      <c r="D110" s="10" t="s">
        <v>388</v>
      </c>
      <c r="E110" s="11">
        <v>4279.79</v>
      </c>
      <c r="F110" s="10" t="str">
        <f>IF(tblBank[[#This Row],[Reference]]="","",IFERROR(INDEX(tblLedger[Entry],MATCH(tblBank[[#This Row],[Reference]],tblLedger[Reference],0)),""))</f>
        <v>BNK25-01908</v>
      </c>
      <c r="G11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0" s="10" t="str">
        <f>IF(tblBank[[#This Row],[RefEntry]]&lt;&gt;"",tblBank[[#This Row],[RefEntry]],tblBank[[#This Row],[AmountEntry]])</f>
        <v>BNK25-01908</v>
      </c>
      <c r="I110" s="10" t="str">
        <f>IF(tblBank[[#This Row],[RefEntry]]&lt;&gt;"","Reference",IF(tblBank[[#This Row],[AmountEntry]]&lt;&gt;"","Amount and date","None"))</f>
        <v>Reference</v>
      </c>
      <c r="J110" s="11">
        <f>IF(tblBank[[#This Row],[MatchedEntry]]="","",INDEX(tblLedger[Amount],MATCH(tblBank[[#This Row],[MatchedEntry]],tblLedger[Entry],0)))</f>
        <v>4279.79</v>
      </c>
      <c r="K110" s="11">
        <f>IF(tblBank[[#This Row],[MatchedEntry]]="",0,ROUND(tblBank[[#This Row],[Amount]]-tblBank[[#This Row],[BookAmount]],2))</f>
        <v>0</v>
      </c>
      <c r="L110" s="10" t="str">
        <f>IF(tblBank[[#This Row],[MatchedEntry]]="","Not in books",IF(tblBank[[#This Row],[Difference]]&lt;&gt;0,"Amount difference","Matched"))</f>
        <v>Matched</v>
      </c>
      <c r="M11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0" s="10" t="str">
        <f>IF(tblBank[[#This Row],[Status]]="Matched","",COUNTIF(INDEX(tblBank[Status],1):tblBank[[#This Row],[Status]],"&lt;&gt;Matched"))</f>
        <v/>
      </c>
    </row>
    <row r="111" spans="1:15" x14ac:dyDescent="0.25">
      <c r="A111" s="10" t="s">
        <v>965</v>
      </c>
      <c r="B111" s="6">
        <v>46006</v>
      </c>
      <c r="C111" s="10" t="s">
        <v>966</v>
      </c>
      <c r="D111" s="10" t="s">
        <v>403</v>
      </c>
      <c r="E111" s="11">
        <v>8661.7800000000007</v>
      </c>
      <c r="F111" s="10" t="str">
        <f>IF(tblBank[[#This Row],[Reference]]="","",IFERROR(INDEX(tblLedger[Entry],MATCH(tblBank[[#This Row],[Reference]],tblLedger[Reference],0)),""))</f>
        <v>BNK25-01913</v>
      </c>
      <c r="G11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1" s="10" t="str">
        <f>IF(tblBank[[#This Row],[RefEntry]]&lt;&gt;"",tblBank[[#This Row],[RefEntry]],tblBank[[#This Row],[AmountEntry]])</f>
        <v>BNK25-01913</v>
      </c>
      <c r="I111" s="10" t="str">
        <f>IF(tblBank[[#This Row],[RefEntry]]&lt;&gt;"","Reference",IF(tblBank[[#This Row],[AmountEntry]]&lt;&gt;"","Amount and date","None"))</f>
        <v>Reference</v>
      </c>
      <c r="J111" s="11">
        <f>IF(tblBank[[#This Row],[MatchedEntry]]="","",INDEX(tblLedger[Amount],MATCH(tblBank[[#This Row],[MatchedEntry]],tblLedger[Entry],0)))</f>
        <v>8661.7800000000007</v>
      </c>
      <c r="K111" s="11">
        <f>IF(tblBank[[#This Row],[MatchedEntry]]="",0,ROUND(tblBank[[#This Row],[Amount]]-tblBank[[#This Row],[BookAmount]],2))</f>
        <v>0</v>
      </c>
      <c r="L111" s="10" t="str">
        <f>IF(tblBank[[#This Row],[MatchedEntry]]="","Not in books",IF(tblBank[[#This Row],[Difference]]&lt;&gt;0,"Amount difference","Matched"))</f>
        <v>Matched</v>
      </c>
      <c r="M11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1" s="10" t="str">
        <f>IF(tblBank[[#This Row],[Status]]="Matched","",COUNTIF(INDEX(tblBank[Status],1):tblBank[[#This Row],[Status]],"&lt;&gt;Matched"))</f>
        <v/>
      </c>
    </row>
    <row r="112" spans="1:15" x14ac:dyDescent="0.25">
      <c r="A112" s="10" t="s">
        <v>967</v>
      </c>
      <c r="B112" s="6">
        <v>46006</v>
      </c>
      <c r="C112" s="10" t="s">
        <v>968</v>
      </c>
      <c r="D112" s="10" t="s">
        <v>397</v>
      </c>
      <c r="E112" s="11">
        <v>473.69</v>
      </c>
      <c r="F112" s="10" t="str">
        <f>IF(tblBank[[#This Row],[Reference]]="","",IFERROR(INDEX(tblLedger[Entry],MATCH(tblBank[[#This Row],[Reference]],tblLedger[Reference],0)),""))</f>
        <v>BNK25-01911</v>
      </c>
      <c r="G11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2" s="10" t="str">
        <f>IF(tblBank[[#This Row],[RefEntry]]&lt;&gt;"",tblBank[[#This Row],[RefEntry]],tblBank[[#This Row],[AmountEntry]])</f>
        <v>BNK25-01911</v>
      </c>
      <c r="I112" s="10" t="str">
        <f>IF(tblBank[[#This Row],[RefEntry]]&lt;&gt;"","Reference",IF(tblBank[[#This Row],[AmountEntry]]&lt;&gt;"","Amount and date","None"))</f>
        <v>Reference</v>
      </c>
      <c r="J112" s="11">
        <f>IF(tblBank[[#This Row],[MatchedEntry]]="","",INDEX(tblLedger[Amount],MATCH(tblBank[[#This Row],[MatchedEntry]],tblLedger[Entry],0)))</f>
        <v>473.69</v>
      </c>
      <c r="K112" s="11">
        <f>IF(tblBank[[#This Row],[MatchedEntry]]="",0,ROUND(tblBank[[#This Row],[Amount]]-tblBank[[#This Row],[BookAmount]],2))</f>
        <v>0</v>
      </c>
      <c r="L112" s="10" t="str">
        <f>IF(tblBank[[#This Row],[MatchedEntry]]="","Not in books",IF(tblBank[[#This Row],[Difference]]&lt;&gt;0,"Amount difference","Matched"))</f>
        <v>Matched</v>
      </c>
      <c r="M11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2" s="10" t="str">
        <f>IF(tblBank[[#This Row],[Status]]="Matched","",COUNTIF(INDEX(tblBank[Status],1):tblBank[[#This Row],[Status]],"&lt;&gt;Matched"))</f>
        <v/>
      </c>
    </row>
    <row r="113" spans="1:15" x14ac:dyDescent="0.25">
      <c r="A113" s="10" t="s">
        <v>969</v>
      </c>
      <c r="B113" s="6">
        <v>46006</v>
      </c>
      <c r="C113" s="10" t="s">
        <v>970</v>
      </c>
      <c r="D113" s="10" t="s">
        <v>355</v>
      </c>
      <c r="E113" s="11">
        <v>741.43</v>
      </c>
      <c r="F113" s="10" t="str">
        <f>IF(tblBank[[#This Row],[Reference]]="","",IFERROR(INDEX(tblLedger[Entry],MATCH(tblBank[[#This Row],[Reference]],tblLedger[Reference],0)),""))</f>
        <v>BNK25-01897</v>
      </c>
      <c r="G11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3" s="10" t="str">
        <f>IF(tblBank[[#This Row],[RefEntry]]&lt;&gt;"",tblBank[[#This Row],[RefEntry]],tblBank[[#This Row],[AmountEntry]])</f>
        <v>BNK25-01897</v>
      </c>
      <c r="I113" s="10" t="str">
        <f>IF(tblBank[[#This Row],[RefEntry]]&lt;&gt;"","Reference",IF(tblBank[[#This Row],[AmountEntry]]&lt;&gt;"","Amount and date","None"))</f>
        <v>Reference</v>
      </c>
      <c r="J113" s="11">
        <f>IF(tblBank[[#This Row],[MatchedEntry]]="","",INDEX(tblLedger[Amount],MATCH(tblBank[[#This Row],[MatchedEntry]],tblLedger[Entry],0)))</f>
        <v>741.43</v>
      </c>
      <c r="K113" s="11">
        <f>IF(tblBank[[#This Row],[MatchedEntry]]="",0,ROUND(tblBank[[#This Row],[Amount]]-tblBank[[#This Row],[BookAmount]],2))</f>
        <v>0</v>
      </c>
      <c r="L113" s="10" t="str">
        <f>IF(tblBank[[#This Row],[MatchedEntry]]="","Not in books",IF(tblBank[[#This Row],[Difference]]&lt;&gt;0,"Amount difference","Matched"))</f>
        <v>Matched</v>
      </c>
      <c r="M11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3" s="10" t="str">
        <f>IF(tblBank[[#This Row],[Status]]="Matched","",COUNTIF(INDEX(tblBank[Status],1):tblBank[[#This Row],[Status]],"&lt;&gt;Matched"))</f>
        <v/>
      </c>
    </row>
    <row r="114" spans="1:15" x14ac:dyDescent="0.25">
      <c r="A114" s="10" t="s">
        <v>971</v>
      </c>
      <c r="B114" s="6">
        <v>46006</v>
      </c>
      <c r="C114" s="10" t="s">
        <v>972</v>
      </c>
      <c r="D114" s="10" t="s">
        <v>361</v>
      </c>
      <c r="E114" s="11">
        <v>15144.46</v>
      </c>
      <c r="F114" s="10" t="str">
        <f>IF(tblBank[[#This Row],[Reference]]="","",IFERROR(INDEX(tblLedger[Entry],MATCH(tblBank[[#This Row],[Reference]],tblLedger[Reference],0)),""))</f>
        <v>BNK25-01899</v>
      </c>
      <c r="G11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4" s="10" t="str">
        <f>IF(tblBank[[#This Row],[RefEntry]]&lt;&gt;"",tblBank[[#This Row],[RefEntry]],tblBank[[#This Row],[AmountEntry]])</f>
        <v>BNK25-01899</v>
      </c>
      <c r="I114" s="10" t="str">
        <f>IF(tblBank[[#This Row],[RefEntry]]&lt;&gt;"","Reference",IF(tblBank[[#This Row],[AmountEntry]]&lt;&gt;"","Amount and date","None"))</f>
        <v>Reference</v>
      </c>
      <c r="J114" s="11">
        <f>IF(tblBank[[#This Row],[MatchedEntry]]="","",INDEX(tblLedger[Amount],MATCH(tblBank[[#This Row],[MatchedEntry]],tblLedger[Entry],0)))</f>
        <v>15144.46</v>
      </c>
      <c r="K114" s="11">
        <f>IF(tblBank[[#This Row],[MatchedEntry]]="",0,ROUND(tblBank[[#This Row],[Amount]]-tblBank[[#This Row],[BookAmount]],2))</f>
        <v>0</v>
      </c>
      <c r="L114" s="10" t="str">
        <f>IF(tblBank[[#This Row],[MatchedEntry]]="","Not in books",IF(tblBank[[#This Row],[Difference]]&lt;&gt;0,"Amount difference","Matched"))</f>
        <v>Matched</v>
      </c>
      <c r="M11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4" s="10" t="str">
        <f>IF(tblBank[[#This Row],[Status]]="Matched","",COUNTIF(INDEX(tblBank[Status],1):tblBank[[#This Row],[Status]],"&lt;&gt;Matched"))</f>
        <v/>
      </c>
    </row>
    <row r="115" spans="1:15" x14ac:dyDescent="0.25">
      <c r="A115" s="10" t="s">
        <v>973</v>
      </c>
      <c r="B115" s="6">
        <v>46006</v>
      </c>
      <c r="C115" s="10" t="s">
        <v>974</v>
      </c>
      <c r="D115" s="10" t="s">
        <v>412</v>
      </c>
      <c r="E115" s="11">
        <v>326.17</v>
      </c>
      <c r="F115" s="10" t="str">
        <f>IF(tblBank[[#This Row],[Reference]]="","",IFERROR(INDEX(tblLedger[Entry],MATCH(tblBank[[#This Row],[Reference]],tblLedger[Reference],0)),""))</f>
        <v>BNK25-01916</v>
      </c>
      <c r="G11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5" s="10" t="str">
        <f>IF(tblBank[[#This Row],[RefEntry]]&lt;&gt;"",tblBank[[#This Row],[RefEntry]],tblBank[[#This Row],[AmountEntry]])</f>
        <v>BNK25-01916</v>
      </c>
      <c r="I115" s="10" t="str">
        <f>IF(tblBank[[#This Row],[RefEntry]]&lt;&gt;"","Reference",IF(tblBank[[#This Row],[AmountEntry]]&lt;&gt;"","Amount and date","None"))</f>
        <v>Reference</v>
      </c>
      <c r="J115" s="11">
        <f>IF(tblBank[[#This Row],[MatchedEntry]]="","",INDEX(tblLedger[Amount],MATCH(tblBank[[#This Row],[MatchedEntry]],tblLedger[Entry],0)))</f>
        <v>326.17</v>
      </c>
      <c r="K115" s="11">
        <f>IF(tblBank[[#This Row],[MatchedEntry]]="",0,ROUND(tblBank[[#This Row],[Amount]]-tblBank[[#This Row],[BookAmount]],2))</f>
        <v>0</v>
      </c>
      <c r="L115" s="10" t="str">
        <f>IF(tblBank[[#This Row],[MatchedEntry]]="","Not in books",IF(tblBank[[#This Row],[Difference]]&lt;&gt;0,"Amount difference","Matched"))</f>
        <v>Matched</v>
      </c>
      <c r="M11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5" s="10" t="str">
        <f>IF(tblBank[[#This Row],[Status]]="Matched","",COUNTIF(INDEX(tblBank[Status],1):tblBank[[#This Row],[Status]],"&lt;&gt;Matched"))</f>
        <v/>
      </c>
    </row>
    <row r="116" spans="1:15" x14ac:dyDescent="0.25">
      <c r="A116" s="10" t="s">
        <v>975</v>
      </c>
      <c r="B116" s="6">
        <v>46006</v>
      </c>
      <c r="C116" s="10" t="s">
        <v>948</v>
      </c>
      <c r="D116" s="10" t="s">
        <v>806</v>
      </c>
      <c r="E116" s="11">
        <v>2017.13</v>
      </c>
      <c r="F116" s="10" t="str">
        <f>IF(tblBank[[#This Row],[Reference]]="","",IFERROR(INDEX(tblLedger[Entry],MATCH(tblBank[[#This Row],[Reference]],tblLedger[Reference],0)),""))</f>
        <v/>
      </c>
      <c r="G11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BNK25-01902</v>
      </c>
      <c r="H116" s="10" t="str">
        <f>IF(tblBank[[#This Row],[RefEntry]]&lt;&gt;"",tblBank[[#This Row],[RefEntry]],tblBank[[#This Row],[AmountEntry]])</f>
        <v>BNK25-01902</v>
      </c>
      <c r="I116" s="10" t="str">
        <f>IF(tblBank[[#This Row],[RefEntry]]&lt;&gt;"","Reference",IF(tblBank[[#This Row],[AmountEntry]]&lt;&gt;"","Amount and date","None"))</f>
        <v>Amount and date</v>
      </c>
      <c r="J116" s="11">
        <f>IF(tblBank[[#This Row],[MatchedEntry]]="","",INDEX(tblLedger[Amount],MATCH(tblBank[[#This Row],[MatchedEntry]],tblLedger[Entry],0)))</f>
        <v>2017.13</v>
      </c>
      <c r="K116" s="11">
        <f>IF(tblBank[[#This Row],[MatchedEntry]]="",0,ROUND(tblBank[[#This Row],[Amount]]-tblBank[[#This Row],[BookAmount]],2))</f>
        <v>0</v>
      </c>
      <c r="L116" s="10" t="str">
        <f>IF(tblBank[[#This Row],[MatchedEntry]]="","Not in books",IF(tblBank[[#This Row],[Difference]]&lt;&gt;0,"Amount difference","Matched"))</f>
        <v>Matched</v>
      </c>
      <c r="M11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6" s="10" t="str">
        <f>IF(tblBank[[#This Row],[Status]]="Matched","",COUNTIF(INDEX(tblBank[Status],1):tblBank[[#This Row],[Status]],"&lt;&gt;Matched"))</f>
        <v/>
      </c>
    </row>
    <row r="117" spans="1:15" x14ac:dyDescent="0.25">
      <c r="A117" s="10" t="s">
        <v>976</v>
      </c>
      <c r="B117" s="6">
        <v>46006</v>
      </c>
      <c r="C117" s="10" t="s">
        <v>977</v>
      </c>
      <c r="D117" s="10" t="s">
        <v>418</v>
      </c>
      <c r="E117" s="11">
        <v>4658.9799999999996</v>
      </c>
      <c r="F117" s="10" t="str">
        <f>IF(tblBank[[#This Row],[Reference]]="","",IFERROR(INDEX(tblLedger[Entry],MATCH(tblBank[[#This Row],[Reference]],tblLedger[Reference],0)),""))</f>
        <v>BNK25-01918</v>
      </c>
      <c r="G11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7" s="10" t="str">
        <f>IF(tblBank[[#This Row],[RefEntry]]&lt;&gt;"",tblBank[[#This Row],[RefEntry]],tblBank[[#This Row],[AmountEntry]])</f>
        <v>BNK25-01918</v>
      </c>
      <c r="I117" s="10" t="str">
        <f>IF(tblBank[[#This Row],[RefEntry]]&lt;&gt;"","Reference",IF(tblBank[[#This Row],[AmountEntry]]&lt;&gt;"","Amount and date","None"))</f>
        <v>Reference</v>
      </c>
      <c r="J117" s="11">
        <f>IF(tblBank[[#This Row],[MatchedEntry]]="","",INDEX(tblLedger[Amount],MATCH(tblBank[[#This Row],[MatchedEntry]],tblLedger[Entry],0)))</f>
        <v>4658.9799999999996</v>
      </c>
      <c r="K117" s="11">
        <f>IF(tblBank[[#This Row],[MatchedEntry]]="",0,ROUND(tblBank[[#This Row],[Amount]]-tblBank[[#This Row],[BookAmount]],2))</f>
        <v>0</v>
      </c>
      <c r="L117" s="10" t="str">
        <f>IF(tblBank[[#This Row],[MatchedEntry]]="","Not in books",IF(tblBank[[#This Row],[Difference]]&lt;&gt;0,"Amount difference","Matched"))</f>
        <v>Matched</v>
      </c>
      <c r="M11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7" s="10" t="str">
        <f>IF(tblBank[[#This Row],[Status]]="Matched","",COUNTIF(INDEX(tblBank[Status],1):tblBank[[#This Row],[Status]],"&lt;&gt;Matched"))</f>
        <v/>
      </c>
    </row>
    <row r="118" spans="1:15" x14ac:dyDescent="0.25">
      <c r="A118" s="10" t="s">
        <v>978</v>
      </c>
      <c r="B118" s="6">
        <v>46006</v>
      </c>
      <c r="C118" s="10" t="s">
        <v>979</v>
      </c>
      <c r="D118" s="10" t="s">
        <v>400</v>
      </c>
      <c r="E118" s="11">
        <v>417.6</v>
      </c>
      <c r="F118" s="10" t="str">
        <f>IF(tblBank[[#This Row],[Reference]]="","",IFERROR(INDEX(tblLedger[Entry],MATCH(tblBank[[#This Row],[Reference]],tblLedger[Reference],0)),""))</f>
        <v>BNK25-01912</v>
      </c>
      <c r="G11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8" s="10" t="str">
        <f>IF(tblBank[[#This Row],[RefEntry]]&lt;&gt;"",tblBank[[#This Row],[RefEntry]],tblBank[[#This Row],[AmountEntry]])</f>
        <v>BNK25-01912</v>
      </c>
      <c r="I118" s="10" t="str">
        <f>IF(tblBank[[#This Row],[RefEntry]]&lt;&gt;"","Reference",IF(tblBank[[#This Row],[AmountEntry]]&lt;&gt;"","Amount and date","None"))</f>
        <v>Reference</v>
      </c>
      <c r="J118" s="11">
        <f>IF(tblBank[[#This Row],[MatchedEntry]]="","",INDEX(tblLedger[Amount],MATCH(tblBank[[#This Row],[MatchedEntry]],tblLedger[Entry],0)))</f>
        <v>417.6</v>
      </c>
      <c r="K118" s="11">
        <f>IF(tblBank[[#This Row],[MatchedEntry]]="",0,ROUND(tblBank[[#This Row],[Amount]]-tblBank[[#This Row],[BookAmount]],2))</f>
        <v>0</v>
      </c>
      <c r="L118" s="10" t="str">
        <f>IF(tblBank[[#This Row],[MatchedEntry]]="","Not in books",IF(tblBank[[#This Row],[Difference]]&lt;&gt;0,"Amount difference","Matched"))</f>
        <v>Matched</v>
      </c>
      <c r="M11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8" s="10" t="str">
        <f>IF(tblBank[[#This Row],[Status]]="Matched","",COUNTIF(INDEX(tblBank[Status],1):tblBank[[#This Row],[Status]],"&lt;&gt;Matched"))</f>
        <v/>
      </c>
    </row>
    <row r="119" spans="1:15" x14ac:dyDescent="0.25">
      <c r="A119" s="10" t="s">
        <v>980</v>
      </c>
      <c r="B119" s="6">
        <v>46006</v>
      </c>
      <c r="C119" s="10" t="s">
        <v>981</v>
      </c>
      <c r="D119" s="10" t="s">
        <v>373</v>
      </c>
      <c r="E119" s="11">
        <v>5064.3999999999996</v>
      </c>
      <c r="F119" s="10" t="str">
        <f>IF(tblBank[[#This Row],[Reference]]="","",IFERROR(INDEX(tblLedger[Entry],MATCH(tblBank[[#This Row],[Reference]],tblLedger[Reference],0)),""))</f>
        <v>BNK25-01903</v>
      </c>
      <c r="G11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19" s="10" t="str">
        <f>IF(tblBank[[#This Row],[RefEntry]]&lt;&gt;"",tblBank[[#This Row],[RefEntry]],tblBank[[#This Row],[AmountEntry]])</f>
        <v>BNK25-01903</v>
      </c>
      <c r="I119" s="10" t="str">
        <f>IF(tblBank[[#This Row],[RefEntry]]&lt;&gt;"","Reference",IF(tblBank[[#This Row],[AmountEntry]]&lt;&gt;"","Amount and date","None"))</f>
        <v>Reference</v>
      </c>
      <c r="J119" s="11">
        <f>IF(tblBank[[#This Row],[MatchedEntry]]="","",INDEX(tblLedger[Amount],MATCH(tblBank[[#This Row],[MatchedEntry]],tblLedger[Entry],0)))</f>
        <v>5064.3999999999996</v>
      </c>
      <c r="K119" s="11">
        <f>IF(tblBank[[#This Row],[MatchedEntry]]="",0,ROUND(tblBank[[#This Row],[Amount]]-tblBank[[#This Row],[BookAmount]],2))</f>
        <v>0</v>
      </c>
      <c r="L119" s="10" t="str">
        <f>IF(tblBank[[#This Row],[MatchedEntry]]="","Not in books",IF(tblBank[[#This Row],[Difference]]&lt;&gt;0,"Amount difference","Matched"))</f>
        <v>Matched</v>
      </c>
      <c r="M11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1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19" s="10" t="str">
        <f>IF(tblBank[[#This Row],[Status]]="Matched","",COUNTIF(INDEX(tblBank[Status],1):tblBank[[#This Row],[Status]],"&lt;&gt;Matched"))</f>
        <v/>
      </c>
    </row>
    <row r="120" spans="1:15" x14ac:dyDescent="0.25">
      <c r="A120" s="10" t="s">
        <v>982</v>
      </c>
      <c r="B120" s="6">
        <v>46006</v>
      </c>
      <c r="C120" s="10" t="s">
        <v>983</v>
      </c>
      <c r="D120" s="10" t="s">
        <v>385</v>
      </c>
      <c r="E120" s="11">
        <v>172.26</v>
      </c>
      <c r="F120" s="10" t="str">
        <f>IF(tblBank[[#This Row],[Reference]]="","",IFERROR(INDEX(tblLedger[Entry],MATCH(tblBank[[#This Row],[Reference]],tblLedger[Reference],0)),""))</f>
        <v>BNK25-01907</v>
      </c>
      <c r="G12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0" s="10" t="str">
        <f>IF(tblBank[[#This Row],[RefEntry]]&lt;&gt;"",tblBank[[#This Row],[RefEntry]],tblBank[[#This Row],[AmountEntry]])</f>
        <v>BNK25-01907</v>
      </c>
      <c r="I120" s="10" t="str">
        <f>IF(tblBank[[#This Row],[RefEntry]]&lt;&gt;"","Reference",IF(tblBank[[#This Row],[AmountEntry]]&lt;&gt;"","Amount and date","None"))</f>
        <v>Reference</v>
      </c>
      <c r="J120" s="11">
        <f>IF(tblBank[[#This Row],[MatchedEntry]]="","",INDEX(tblLedger[Amount],MATCH(tblBank[[#This Row],[MatchedEntry]],tblLedger[Entry],0)))</f>
        <v>172.26</v>
      </c>
      <c r="K120" s="11">
        <f>IF(tblBank[[#This Row],[MatchedEntry]]="",0,ROUND(tblBank[[#This Row],[Amount]]-tblBank[[#This Row],[BookAmount]],2))</f>
        <v>0</v>
      </c>
      <c r="L120" s="10" t="str">
        <f>IF(tblBank[[#This Row],[MatchedEntry]]="","Not in books",IF(tblBank[[#This Row],[Difference]]&lt;&gt;0,"Amount difference","Matched"))</f>
        <v>Matched</v>
      </c>
      <c r="M12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0" s="10" t="str">
        <f>IF(tblBank[[#This Row],[Status]]="Matched","",COUNTIF(INDEX(tblBank[Status],1):tblBank[[#This Row],[Status]],"&lt;&gt;Matched"))</f>
        <v/>
      </c>
    </row>
    <row r="121" spans="1:15" x14ac:dyDescent="0.25">
      <c r="A121" s="10" t="s">
        <v>984</v>
      </c>
      <c r="B121" s="6">
        <v>46006</v>
      </c>
      <c r="C121" s="10" t="s">
        <v>985</v>
      </c>
      <c r="D121" s="10" t="s">
        <v>358</v>
      </c>
      <c r="E121" s="11">
        <v>423.07</v>
      </c>
      <c r="F121" s="10" t="str">
        <f>IF(tblBank[[#This Row],[Reference]]="","",IFERROR(INDEX(tblLedger[Entry],MATCH(tblBank[[#This Row],[Reference]],tblLedger[Reference],0)),""))</f>
        <v>BNK25-01898</v>
      </c>
      <c r="G12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1" s="10" t="str">
        <f>IF(tblBank[[#This Row],[RefEntry]]&lt;&gt;"",tblBank[[#This Row],[RefEntry]],tblBank[[#This Row],[AmountEntry]])</f>
        <v>BNK25-01898</v>
      </c>
      <c r="I121" s="10" t="str">
        <f>IF(tblBank[[#This Row],[RefEntry]]&lt;&gt;"","Reference",IF(tblBank[[#This Row],[AmountEntry]]&lt;&gt;"","Amount and date","None"))</f>
        <v>Reference</v>
      </c>
      <c r="J121" s="11">
        <f>IF(tblBank[[#This Row],[MatchedEntry]]="","",INDEX(tblLedger[Amount],MATCH(tblBank[[#This Row],[MatchedEntry]],tblLedger[Entry],0)))</f>
        <v>423.07</v>
      </c>
      <c r="K121" s="11">
        <f>IF(tblBank[[#This Row],[MatchedEntry]]="",0,ROUND(tblBank[[#This Row],[Amount]]-tblBank[[#This Row],[BookAmount]],2))</f>
        <v>0</v>
      </c>
      <c r="L121" s="10" t="str">
        <f>IF(tblBank[[#This Row],[MatchedEntry]]="","Not in books",IF(tblBank[[#This Row],[Difference]]&lt;&gt;0,"Amount difference","Matched"))</f>
        <v>Matched</v>
      </c>
      <c r="M12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1" s="10" t="str">
        <f>IF(tblBank[[#This Row],[Status]]="Matched","",COUNTIF(INDEX(tblBank[Status],1):tblBank[[#This Row],[Status]],"&lt;&gt;Matched"))</f>
        <v/>
      </c>
    </row>
    <row r="122" spans="1:15" x14ac:dyDescent="0.25">
      <c r="A122" s="10" t="s">
        <v>986</v>
      </c>
      <c r="B122" s="6">
        <v>46006</v>
      </c>
      <c r="C122" s="10" t="s">
        <v>987</v>
      </c>
      <c r="D122" s="10" t="s">
        <v>379</v>
      </c>
      <c r="E122" s="11">
        <v>478.49</v>
      </c>
      <c r="F122" s="10" t="str">
        <f>IF(tblBank[[#This Row],[Reference]]="","",IFERROR(INDEX(tblLedger[Entry],MATCH(tblBank[[#This Row],[Reference]],tblLedger[Reference],0)),""))</f>
        <v>BNK25-01905</v>
      </c>
      <c r="G12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2" s="10" t="str">
        <f>IF(tblBank[[#This Row],[RefEntry]]&lt;&gt;"",tblBank[[#This Row],[RefEntry]],tblBank[[#This Row],[AmountEntry]])</f>
        <v>BNK25-01905</v>
      </c>
      <c r="I122" s="10" t="str">
        <f>IF(tblBank[[#This Row],[RefEntry]]&lt;&gt;"","Reference",IF(tblBank[[#This Row],[AmountEntry]]&lt;&gt;"","Amount and date","None"))</f>
        <v>Reference</v>
      </c>
      <c r="J122" s="11">
        <f>IF(tblBank[[#This Row],[MatchedEntry]]="","",INDEX(tblLedger[Amount],MATCH(tblBank[[#This Row],[MatchedEntry]],tblLedger[Entry],0)))</f>
        <v>478.49</v>
      </c>
      <c r="K122" s="11">
        <f>IF(tblBank[[#This Row],[MatchedEntry]]="",0,ROUND(tblBank[[#This Row],[Amount]]-tblBank[[#This Row],[BookAmount]],2))</f>
        <v>0</v>
      </c>
      <c r="L122" s="10" t="str">
        <f>IF(tblBank[[#This Row],[MatchedEntry]]="","Not in books",IF(tblBank[[#This Row],[Difference]]&lt;&gt;0,"Amount difference","Matched"))</f>
        <v>Matched</v>
      </c>
      <c r="M12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2" s="10" t="str">
        <f>IF(tblBank[[#This Row],[Status]]="Matched","",COUNTIF(INDEX(tblBank[Status],1):tblBank[[#This Row],[Status]],"&lt;&gt;Matched"))</f>
        <v/>
      </c>
    </row>
    <row r="123" spans="1:15" x14ac:dyDescent="0.25">
      <c r="A123" s="10" t="s">
        <v>988</v>
      </c>
      <c r="B123" s="6">
        <v>46006</v>
      </c>
      <c r="C123" s="10" t="s">
        <v>989</v>
      </c>
      <c r="D123" s="10" t="s">
        <v>364</v>
      </c>
      <c r="E123" s="11">
        <v>1136.76</v>
      </c>
      <c r="F123" s="10" t="str">
        <f>IF(tblBank[[#This Row],[Reference]]="","",IFERROR(INDEX(tblLedger[Entry],MATCH(tblBank[[#This Row],[Reference]],tblLedger[Reference],0)),""))</f>
        <v>BNK25-01900</v>
      </c>
      <c r="G12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3" s="10" t="str">
        <f>IF(tblBank[[#This Row],[RefEntry]]&lt;&gt;"",tblBank[[#This Row],[RefEntry]],tblBank[[#This Row],[AmountEntry]])</f>
        <v>BNK25-01900</v>
      </c>
      <c r="I123" s="10" t="str">
        <f>IF(tblBank[[#This Row],[RefEntry]]&lt;&gt;"","Reference",IF(tblBank[[#This Row],[AmountEntry]]&lt;&gt;"","Amount and date","None"))</f>
        <v>Reference</v>
      </c>
      <c r="J123" s="11">
        <f>IF(tblBank[[#This Row],[MatchedEntry]]="","",INDEX(tblLedger[Amount],MATCH(tblBank[[#This Row],[MatchedEntry]],tblLedger[Entry],0)))</f>
        <v>1136.76</v>
      </c>
      <c r="K123" s="11">
        <f>IF(tblBank[[#This Row],[MatchedEntry]]="",0,ROUND(tblBank[[#This Row],[Amount]]-tblBank[[#This Row],[BookAmount]],2))</f>
        <v>0</v>
      </c>
      <c r="L123" s="10" t="str">
        <f>IF(tblBank[[#This Row],[MatchedEntry]]="","Not in books",IF(tblBank[[#This Row],[Difference]]&lt;&gt;0,"Amount difference","Matched"))</f>
        <v>Matched</v>
      </c>
      <c r="M12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3" s="10" t="str">
        <f>IF(tblBank[[#This Row],[Status]]="Matched","",COUNTIF(INDEX(tblBank[Status],1):tblBank[[#This Row],[Status]],"&lt;&gt;Matched"))</f>
        <v/>
      </c>
    </row>
    <row r="124" spans="1:15" x14ac:dyDescent="0.25">
      <c r="A124" s="10" t="s">
        <v>990</v>
      </c>
      <c r="B124" s="6">
        <v>46006</v>
      </c>
      <c r="C124" s="10" t="s">
        <v>991</v>
      </c>
      <c r="D124" s="10" t="s">
        <v>391</v>
      </c>
      <c r="E124" s="11">
        <v>2330.98</v>
      </c>
      <c r="F124" s="10" t="str">
        <f>IF(tblBank[[#This Row],[Reference]]="","",IFERROR(INDEX(tblLedger[Entry],MATCH(tblBank[[#This Row],[Reference]],tblLedger[Reference],0)),""))</f>
        <v>BNK25-01909</v>
      </c>
      <c r="G12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4" s="10" t="str">
        <f>IF(tblBank[[#This Row],[RefEntry]]&lt;&gt;"",tblBank[[#This Row],[RefEntry]],tblBank[[#This Row],[AmountEntry]])</f>
        <v>BNK25-01909</v>
      </c>
      <c r="I124" s="10" t="str">
        <f>IF(tblBank[[#This Row],[RefEntry]]&lt;&gt;"","Reference",IF(tblBank[[#This Row],[AmountEntry]]&lt;&gt;"","Amount and date","None"))</f>
        <v>Reference</v>
      </c>
      <c r="J124" s="11">
        <f>IF(tblBank[[#This Row],[MatchedEntry]]="","",INDEX(tblLedger[Amount],MATCH(tblBank[[#This Row],[MatchedEntry]],tblLedger[Entry],0)))</f>
        <v>2330.98</v>
      </c>
      <c r="K124" s="11">
        <f>IF(tblBank[[#This Row],[MatchedEntry]]="",0,ROUND(tblBank[[#This Row],[Amount]]-tblBank[[#This Row],[BookAmount]],2))</f>
        <v>0</v>
      </c>
      <c r="L124" s="10" t="str">
        <f>IF(tblBank[[#This Row],[MatchedEntry]]="","Not in books",IF(tblBank[[#This Row],[Difference]]&lt;&gt;0,"Amount difference","Matched"))</f>
        <v>Matched</v>
      </c>
      <c r="M12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4" s="10" t="str">
        <f>IF(tblBank[[#This Row],[Status]]="Matched","",COUNTIF(INDEX(tblBank[Status],1):tblBank[[#This Row],[Status]],"&lt;&gt;Matched"))</f>
        <v/>
      </c>
    </row>
    <row r="125" spans="1:15" x14ac:dyDescent="0.25">
      <c r="A125" s="10" t="s">
        <v>992</v>
      </c>
      <c r="B125" s="6">
        <v>46007</v>
      </c>
      <c r="C125" s="10" t="s">
        <v>993</v>
      </c>
      <c r="D125" s="10" t="s">
        <v>806</v>
      </c>
      <c r="E125" s="11">
        <v>-8</v>
      </c>
      <c r="F125" s="10" t="str">
        <f>IF(tblBank[[#This Row],[Reference]]="","",IFERROR(INDEX(tblLedger[Entry],MATCH(tblBank[[#This Row],[Reference]],tblLedger[Reference],0)),""))</f>
        <v/>
      </c>
      <c r="G12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5" s="10" t="str">
        <f>IF(tblBank[[#This Row],[RefEntry]]&lt;&gt;"",tblBank[[#This Row],[RefEntry]],tblBank[[#This Row],[AmountEntry]])</f>
        <v/>
      </c>
      <c r="I125" s="10" t="str">
        <f>IF(tblBank[[#This Row],[RefEntry]]&lt;&gt;"","Reference",IF(tblBank[[#This Row],[AmountEntry]]&lt;&gt;"","Amount and date","None"))</f>
        <v>None</v>
      </c>
      <c r="J125" s="11" t="str">
        <f>IF(tblBank[[#This Row],[MatchedEntry]]="","",INDEX(tblLedger[Amount],MATCH(tblBank[[#This Row],[MatchedEntry]],tblLedger[Entry],0)))</f>
        <v/>
      </c>
      <c r="K125" s="11">
        <f>IF(tblBank[[#This Row],[MatchedEntry]]="",0,ROUND(tblBank[[#This Row],[Amount]]-tblBank[[#This Row],[BookAmount]],2))</f>
        <v>0</v>
      </c>
      <c r="L125" s="10" t="str">
        <f>IF(tblBank[[#This Row],[MatchedEntry]]="","Not in books",IF(tblBank[[#This Row],[Difference]]&lt;&gt;0,"Amount difference","Matched"))</f>
        <v>Not in books</v>
      </c>
      <c r="M12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Bank charges</v>
      </c>
      <c r="N12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Book the bank charges</v>
      </c>
      <c r="O125" s="10">
        <f>IF(tblBank[[#This Row],[Status]]="Matched","",COUNTIF(INDEX(tblBank[Status],1):tblBank[[#This Row],[Status]],"&lt;&gt;Matched"))</f>
        <v>3</v>
      </c>
    </row>
    <row r="126" spans="1:15" x14ac:dyDescent="0.25">
      <c r="A126" s="10" t="s">
        <v>994</v>
      </c>
      <c r="B126" s="6">
        <v>46007</v>
      </c>
      <c r="C126" s="10" t="s">
        <v>995</v>
      </c>
      <c r="D126" s="10" t="s">
        <v>406</v>
      </c>
      <c r="E126" s="11">
        <v>-1595.7</v>
      </c>
      <c r="F126" s="10" t="str">
        <f>IF(tblBank[[#This Row],[Reference]]="","",IFERROR(INDEX(tblLedger[Entry],MATCH(tblBank[[#This Row],[Reference]],tblLedger[Reference],0)),""))</f>
        <v>BNK25-01914</v>
      </c>
      <c r="G12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6" s="10" t="str">
        <f>IF(tblBank[[#This Row],[RefEntry]]&lt;&gt;"",tblBank[[#This Row],[RefEntry]],tblBank[[#This Row],[AmountEntry]])</f>
        <v>BNK25-01914</v>
      </c>
      <c r="I126" s="10" t="str">
        <f>IF(tblBank[[#This Row],[RefEntry]]&lt;&gt;"","Reference",IF(tblBank[[#This Row],[AmountEntry]]&lt;&gt;"","Amount and date","None"))</f>
        <v>Reference</v>
      </c>
      <c r="J126" s="11">
        <f>IF(tblBank[[#This Row],[MatchedEntry]]="","",INDEX(tblLedger[Amount],MATCH(tblBank[[#This Row],[MatchedEntry]],tblLedger[Entry],0)))</f>
        <v>-1595.7</v>
      </c>
      <c r="K126" s="11">
        <f>IF(tblBank[[#This Row],[MatchedEntry]]="",0,ROUND(tblBank[[#This Row],[Amount]]-tblBank[[#This Row],[BookAmount]],2))</f>
        <v>0</v>
      </c>
      <c r="L126" s="10" t="str">
        <f>IF(tblBank[[#This Row],[MatchedEntry]]="","Not in books",IF(tblBank[[#This Row],[Difference]]&lt;&gt;0,"Amount difference","Matched"))</f>
        <v>Matched</v>
      </c>
      <c r="M12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6" s="10" t="str">
        <f>IF(tblBank[[#This Row],[Status]]="Matched","",COUNTIF(INDEX(tblBank[Status],1):tblBank[[#This Row],[Status]],"&lt;&gt;Matched"))</f>
        <v/>
      </c>
    </row>
    <row r="127" spans="1:15" x14ac:dyDescent="0.25">
      <c r="A127" s="10" t="s">
        <v>996</v>
      </c>
      <c r="B127" s="6">
        <v>46007</v>
      </c>
      <c r="C127" s="10" t="s">
        <v>997</v>
      </c>
      <c r="D127" s="10" t="s">
        <v>376</v>
      </c>
      <c r="E127" s="11">
        <v>-216.73</v>
      </c>
      <c r="F127" s="10" t="str">
        <f>IF(tblBank[[#This Row],[Reference]]="","",IFERROR(INDEX(tblLedger[Entry],MATCH(tblBank[[#This Row],[Reference]],tblLedger[Reference],0)),""))</f>
        <v>BNK25-01904</v>
      </c>
      <c r="G12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7" s="10" t="str">
        <f>IF(tblBank[[#This Row],[RefEntry]]&lt;&gt;"",tblBank[[#This Row],[RefEntry]],tblBank[[#This Row],[AmountEntry]])</f>
        <v>BNK25-01904</v>
      </c>
      <c r="I127" s="10" t="str">
        <f>IF(tblBank[[#This Row],[RefEntry]]&lt;&gt;"","Reference",IF(tblBank[[#This Row],[AmountEntry]]&lt;&gt;"","Amount and date","None"))</f>
        <v>Reference</v>
      </c>
      <c r="J127" s="11">
        <f>IF(tblBank[[#This Row],[MatchedEntry]]="","",INDEX(tblLedger[Amount],MATCH(tblBank[[#This Row],[MatchedEntry]],tblLedger[Entry],0)))</f>
        <v>-216.73</v>
      </c>
      <c r="K127" s="11">
        <f>IF(tblBank[[#This Row],[MatchedEntry]]="",0,ROUND(tblBank[[#This Row],[Amount]]-tblBank[[#This Row],[BookAmount]],2))</f>
        <v>0</v>
      </c>
      <c r="L127" s="10" t="str">
        <f>IF(tblBank[[#This Row],[MatchedEntry]]="","Not in books",IF(tblBank[[#This Row],[Difference]]&lt;&gt;0,"Amount difference","Matched"))</f>
        <v>Matched</v>
      </c>
      <c r="M12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7" s="10" t="str">
        <f>IF(tblBank[[#This Row],[Status]]="Matched","",COUNTIF(INDEX(tblBank[Status],1):tblBank[[#This Row],[Status]],"&lt;&gt;Matched"))</f>
        <v/>
      </c>
    </row>
    <row r="128" spans="1:15" x14ac:dyDescent="0.25">
      <c r="A128" s="10" t="s">
        <v>998</v>
      </c>
      <c r="B128" s="6">
        <v>46007</v>
      </c>
      <c r="C128" s="10" t="s">
        <v>999</v>
      </c>
      <c r="D128" s="10" t="s">
        <v>806</v>
      </c>
      <c r="E128" s="11">
        <v>-175.44</v>
      </c>
      <c r="F128" s="10" t="str">
        <f>IF(tblBank[[#This Row],[Reference]]="","",IFERROR(INDEX(tblLedger[Entry],MATCH(tblBank[[#This Row],[Reference]],tblLedger[Reference],0)),""))</f>
        <v/>
      </c>
      <c r="G12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BNK25-01910</v>
      </c>
      <c r="H128" s="10" t="str">
        <f>IF(tblBank[[#This Row],[RefEntry]]&lt;&gt;"",tblBank[[#This Row],[RefEntry]],tblBank[[#This Row],[AmountEntry]])</f>
        <v>BNK25-01910</v>
      </c>
      <c r="I128" s="10" t="str">
        <f>IF(tblBank[[#This Row],[RefEntry]]&lt;&gt;"","Reference",IF(tblBank[[#This Row],[AmountEntry]]&lt;&gt;"","Amount and date","None"))</f>
        <v>Amount and date</v>
      </c>
      <c r="J128" s="11">
        <f>IF(tblBank[[#This Row],[MatchedEntry]]="","",INDEX(tblLedger[Amount],MATCH(tblBank[[#This Row],[MatchedEntry]],tblLedger[Entry],0)))</f>
        <v>-175.44</v>
      </c>
      <c r="K128" s="11">
        <f>IF(tblBank[[#This Row],[MatchedEntry]]="",0,ROUND(tblBank[[#This Row],[Amount]]-tblBank[[#This Row],[BookAmount]],2))</f>
        <v>0</v>
      </c>
      <c r="L128" s="10" t="str">
        <f>IF(tblBank[[#This Row],[MatchedEntry]]="","Not in books",IF(tblBank[[#This Row],[Difference]]&lt;&gt;0,"Amount difference","Matched"))</f>
        <v>Matched</v>
      </c>
      <c r="M12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8" s="10" t="str">
        <f>IF(tblBank[[#This Row],[Status]]="Matched","",COUNTIF(INDEX(tblBank[Status],1):tblBank[[#This Row],[Status]],"&lt;&gt;Matched"))</f>
        <v/>
      </c>
    </row>
    <row r="129" spans="1:15" x14ac:dyDescent="0.25">
      <c r="A129" s="10" t="s">
        <v>1000</v>
      </c>
      <c r="B129" s="6">
        <v>46007</v>
      </c>
      <c r="C129" s="10" t="s">
        <v>1001</v>
      </c>
      <c r="D129" s="10" t="s">
        <v>427</v>
      </c>
      <c r="E129" s="11">
        <v>3420.07</v>
      </c>
      <c r="F129" s="10" t="str">
        <f>IF(tblBank[[#This Row],[Reference]]="","",IFERROR(INDEX(tblLedger[Entry],MATCH(tblBank[[#This Row],[Reference]],tblLedger[Reference],0)),""))</f>
        <v>BNK25-01921</v>
      </c>
      <c r="G12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29" s="10" t="str">
        <f>IF(tblBank[[#This Row],[RefEntry]]&lt;&gt;"",tblBank[[#This Row],[RefEntry]],tblBank[[#This Row],[AmountEntry]])</f>
        <v>BNK25-01921</v>
      </c>
      <c r="I129" s="10" t="str">
        <f>IF(tblBank[[#This Row],[RefEntry]]&lt;&gt;"","Reference",IF(tblBank[[#This Row],[AmountEntry]]&lt;&gt;"","Amount and date","None"))</f>
        <v>Reference</v>
      </c>
      <c r="J129" s="11">
        <f>IF(tblBank[[#This Row],[MatchedEntry]]="","",INDEX(tblLedger[Amount],MATCH(tblBank[[#This Row],[MatchedEntry]],tblLedger[Entry],0)))</f>
        <v>3420.07</v>
      </c>
      <c r="K129" s="11">
        <f>IF(tblBank[[#This Row],[MatchedEntry]]="",0,ROUND(tblBank[[#This Row],[Amount]]-tblBank[[#This Row],[BookAmount]],2))</f>
        <v>0</v>
      </c>
      <c r="L129" s="10" t="str">
        <f>IF(tblBank[[#This Row],[MatchedEntry]]="","Not in books",IF(tblBank[[#This Row],[Difference]]&lt;&gt;0,"Amount difference","Matched"))</f>
        <v>Matched</v>
      </c>
      <c r="M12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2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29" s="10" t="str">
        <f>IF(tblBank[[#This Row],[Status]]="Matched","",COUNTIF(INDEX(tblBank[Status],1):tblBank[[#This Row],[Status]],"&lt;&gt;Matched"))</f>
        <v/>
      </c>
    </row>
    <row r="130" spans="1:15" x14ac:dyDescent="0.25">
      <c r="A130" s="10" t="s">
        <v>1002</v>
      </c>
      <c r="B130" s="6">
        <v>46007</v>
      </c>
      <c r="C130" s="10" t="s">
        <v>1003</v>
      </c>
      <c r="D130" s="10" t="s">
        <v>430</v>
      </c>
      <c r="E130" s="11">
        <v>704.8</v>
      </c>
      <c r="F130" s="10" t="str">
        <f>IF(tblBank[[#This Row],[Reference]]="","",IFERROR(INDEX(tblLedger[Entry],MATCH(tblBank[[#This Row],[Reference]],tblLedger[Reference],0)),""))</f>
        <v>BNK25-01922</v>
      </c>
      <c r="G13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0" s="10" t="str">
        <f>IF(tblBank[[#This Row],[RefEntry]]&lt;&gt;"",tblBank[[#This Row],[RefEntry]],tblBank[[#This Row],[AmountEntry]])</f>
        <v>BNK25-01922</v>
      </c>
      <c r="I130" s="10" t="str">
        <f>IF(tblBank[[#This Row],[RefEntry]]&lt;&gt;"","Reference",IF(tblBank[[#This Row],[AmountEntry]]&lt;&gt;"","Amount and date","None"))</f>
        <v>Reference</v>
      </c>
      <c r="J130" s="11">
        <f>IF(tblBank[[#This Row],[MatchedEntry]]="","",INDEX(tblLedger[Amount],MATCH(tblBank[[#This Row],[MatchedEntry]],tblLedger[Entry],0)))</f>
        <v>704.8</v>
      </c>
      <c r="K130" s="11">
        <f>IF(tblBank[[#This Row],[MatchedEntry]]="",0,ROUND(tblBank[[#This Row],[Amount]]-tblBank[[#This Row],[BookAmount]],2))</f>
        <v>0</v>
      </c>
      <c r="L130" s="10" t="str">
        <f>IF(tblBank[[#This Row],[MatchedEntry]]="","Not in books",IF(tblBank[[#This Row],[Difference]]&lt;&gt;0,"Amount difference","Matched"))</f>
        <v>Matched</v>
      </c>
      <c r="M13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0" s="10" t="str">
        <f>IF(tblBank[[#This Row],[Status]]="Matched","",COUNTIF(INDEX(tblBank[Status],1):tblBank[[#This Row],[Status]],"&lt;&gt;Matched"))</f>
        <v/>
      </c>
    </row>
    <row r="131" spans="1:15" x14ac:dyDescent="0.25">
      <c r="A131" s="10" t="s">
        <v>1004</v>
      </c>
      <c r="B131" s="6">
        <v>46007</v>
      </c>
      <c r="C131" s="10" t="s">
        <v>1005</v>
      </c>
      <c r="D131" s="10" t="s">
        <v>424</v>
      </c>
      <c r="E131" s="11">
        <v>12008.59</v>
      </c>
      <c r="F131" s="10" t="str">
        <f>IF(tblBank[[#This Row],[Reference]]="","",IFERROR(INDEX(tblLedger[Entry],MATCH(tblBank[[#This Row],[Reference]],tblLedger[Reference],0)),""))</f>
        <v>BNK25-01920</v>
      </c>
      <c r="G13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1" s="10" t="str">
        <f>IF(tblBank[[#This Row],[RefEntry]]&lt;&gt;"",tblBank[[#This Row],[RefEntry]],tblBank[[#This Row],[AmountEntry]])</f>
        <v>BNK25-01920</v>
      </c>
      <c r="I131" s="10" t="str">
        <f>IF(tblBank[[#This Row],[RefEntry]]&lt;&gt;"","Reference",IF(tblBank[[#This Row],[AmountEntry]]&lt;&gt;"","Amount and date","None"))</f>
        <v>Reference</v>
      </c>
      <c r="J131" s="11">
        <f>IF(tblBank[[#This Row],[MatchedEntry]]="","",INDEX(tblLedger[Amount],MATCH(tblBank[[#This Row],[MatchedEntry]],tblLedger[Entry],0)))</f>
        <v>12008.59</v>
      </c>
      <c r="K131" s="11">
        <f>IF(tblBank[[#This Row],[MatchedEntry]]="",0,ROUND(tblBank[[#This Row],[Amount]]-tblBank[[#This Row],[BookAmount]],2))</f>
        <v>0</v>
      </c>
      <c r="L131" s="10" t="str">
        <f>IF(tblBank[[#This Row],[MatchedEntry]]="","Not in books",IF(tblBank[[#This Row],[Difference]]&lt;&gt;0,"Amount difference","Matched"))</f>
        <v>Matched</v>
      </c>
      <c r="M13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1" s="10" t="str">
        <f>IF(tblBank[[#This Row],[Status]]="Matched","",COUNTIF(INDEX(tblBank[Status],1):tblBank[[#This Row],[Status]],"&lt;&gt;Matched"))</f>
        <v/>
      </c>
    </row>
    <row r="132" spans="1:15" x14ac:dyDescent="0.25">
      <c r="A132" s="10" t="s">
        <v>1006</v>
      </c>
      <c r="B132" s="6">
        <v>46007</v>
      </c>
      <c r="C132" s="10" t="s">
        <v>948</v>
      </c>
      <c r="D132" s="10" t="s">
        <v>806</v>
      </c>
      <c r="E132" s="11">
        <v>587.48</v>
      </c>
      <c r="F132" s="10" t="str">
        <f>IF(tblBank[[#This Row],[Reference]]="","",IFERROR(INDEX(tblLedger[Entry],MATCH(tblBank[[#This Row],[Reference]],tblLedger[Reference],0)),""))</f>
        <v/>
      </c>
      <c r="G13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BNK25-01923</v>
      </c>
      <c r="H132" s="10" t="str">
        <f>IF(tblBank[[#This Row],[RefEntry]]&lt;&gt;"",tblBank[[#This Row],[RefEntry]],tblBank[[#This Row],[AmountEntry]])</f>
        <v>BNK25-01923</v>
      </c>
      <c r="I132" s="10" t="str">
        <f>IF(tblBank[[#This Row],[RefEntry]]&lt;&gt;"","Reference",IF(tblBank[[#This Row],[AmountEntry]]&lt;&gt;"","Amount and date","None"))</f>
        <v>Amount and date</v>
      </c>
      <c r="J132" s="11">
        <f>IF(tblBank[[#This Row],[MatchedEntry]]="","",INDEX(tblLedger[Amount],MATCH(tblBank[[#This Row],[MatchedEntry]],tblLedger[Entry],0)))</f>
        <v>587.48</v>
      </c>
      <c r="K132" s="11">
        <f>IF(tblBank[[#This Row],[MatchedEntry]]="",0,ROUND(tblBank[[#This Row],[Amount]]-tblBank[[#This Row],[BookAmount]],2))</f>
        <v>0</v>
      </c>
      <c r="L132" s="10" t="str">
        <f>IF(tblBank[[#This Row],[MatchedEntry]]="","Not in books",IF(tblBank[[#This Row],[Difference]]&lt;&gt;0,"Amount difference","Matched"))</f>
        <v>Matched</v>
      </c>
      <c r="M13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2" s="10" t="str">
        <f>IF(tblBank[[#This Row],[Status]]="Matched","",COUNTIF(INDEX(tblBank[Status],1):tblBank[[#This Row],[Status]],"&lt;&gt;Matched"))</f>
        <v/>
      </c>
    </row>
    <row r="133" spans="1:15" x14ac:dyDescent="0.25">
      <c r="A133" s="10" t="s">
        <v>1007</v>
      </c>
      <c r="B133" s="6">
        <v>46008</v>
      </c>
      <c r="C133" s="10" t="s">
        <v>1008</v>
      </c>
      <c r="D133" s="10" t="s">
        <v>439</v>
      </c>
      <c r="E133" s="11">
        <v>-96.59</v>
      </c>
      <c r="F133" s="10" t="str">
        <f>IF(tblBank[[#This Row],[Reference]]="","",IFERROR(INDEX(tblLedger[Entry],MATCH(tblBank[[#This Row],[Reference]],tblLedger[Reference],0)),""))</f>
        <v>BNK25-01925</v>
      </c>
      <c r="G13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3" s="10" t="str">
        <f>IF(tblBank[[#This Row],[RefEntry]]&lt;&gt;"",tblBank[[#This Row],[RefEntry]],tblBank[[#This Row],[AmountEntry]])</f>
        <v>BNK25-01925</v>
      </c>
      <c r="I133" s="10" t="str">
        <f>IF(tblBank[[#This Row],[RefEntry]]&lt;&gt;"","Reference",IF(tblBank[[#This Row],[AmountEntry]]&lt;&gt;"","Amount and date","None"))</f>
        <v>Reference</v>
      </c>
      <c r="J133" s="11">
        <f>IF(tblBank[[#This Row],[MatchedEntry]]="","",INDEX(tblLedger[Amount],MATCH(tblBank[[#This Row],[MatchedEntry]],tblLedger[Entry],0)))</f>
        <v>-96.59</v>
      </c>
      <c r="K133" s="11">
        <f>IF(tblBank[[#This Row],[MatchedEntry]]="",0,ROUND(tblBank[[#This Row],[Amount]]-tblBank[[#This Row],[BookAmount]],2))</f>
        <v>0</v>
      </c>
      <c r="L133" s="10" t="str">
        <f>IF(tblBank[[#This Row],[MatchedEntry]]="","Not in books",IF(tblBank[[#This Row],[Difference]]&lt;&gt;0,"Amount difference","Matched"))</f>
        <v>Matched</v>
      </c>
      <c r="M13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3" s="10" t="str">
        <f>IF(tblBank[[#This Row],[Status]]="Matched","",COUNTIF(INDEX(tblBank[Status],1):tblBank[[#This Row],[Status]],"&lt;&gt;Matched"))</f>
        <v/>
      </c>
    </row>
    <row r="134" spans="1:15" x14ac:dyDescent="0.25">
      <c r="A134" s="10" t="s">
        <v>1009</v>
      </c>
      <c r="B134" s="6">
        <v>46008</v>
      </c>
      <c r="C134" s="10" t="s">
        <v>1010</v>
      </c>
      <c r="D134" s="10" t="s">
        <v>448</v>
      </c>
      <c r="E134" s="11">
        <v>731.77</v>
      </c>
      <c r="F134" s="10" t="str">
        <f>IF(tblBank[[#This Row],[Reference]]="","",IFERROR(INDEX(tblLedger[Entry],MATCH(tblBank[[#This Row],[Reference]],tblLedger[Reference],0)),""))</f>
        <v>BNK25-01928</v>
      </c>
      <c r="G13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4" s="10" t="str">
        <f>IF(tblBank[[#This Row],[RefEntry]]&lt;&gt;"",tblBank[[#This Row],[RefEntry]],tblBank[[#This Row],[AmountEntry]])</f>
        <v>BNK25-01928</v>
      </c>
      <c r="I134" s="10" t="str">
        <f>IF(tblBank[[#This Row],[RefEntry]]&lt;&gt;"","Reference",IF(tblBank[[#This Row],[AmountEntry]]&lt;&gt;"","Amount and date","None"))</f>
        <v>Reference</v>
      </c>
      <c r="J134" s="11">
        <f>IF(tblBank[[#This Row],[MatchedEntry]]="","",INDEX(tblLedger[Amount],MATCH(tblBank[[#This Row],[MatchedEntry]],tblLedger[Entry],0)))</f>
        <v>731.77</v>
      </c>
      <c r="K134" s="11">
        <f>IF(tblBank[[#This Row],[MatchedEntry]]="",0,ROUND(tblBank[[#This Row],[Amount]]-tblBank[[#This Row],[BookAmount]],2))</f>
        <v>0</v>
      </c>
      <c r="L134" s="10" t="str">
        <f>IF(tblBank[[#This Row],[MatchedEntry]]="","Not in books",IF(tblBank[[#This Row],[Difference]]&lt;&gt;0,"Amount difference","Matched"))</f>
        <v>Matched</v>
      </c>
      <c r="M13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4" s="10" t="str">
        <f>IF(tblBank[[#This Row],[Status]]="Matched","",COUNTIF(INDEX(tblBank[Status],1):tblBank[[#This Row],[Status]],"&lt;&gt;Matched"))</f>
        <v/>
      </c>
    </row>
    <row r="135" spans="1:15" x14ac:dyDescent="0.25">
      <c r="A135" s="10" t="s">
        <v>1011</v>
      </c>
      <c r="B135" s="6">
        <v>46008</v>
      </c>
      <c r="C135" s="10" t="s">
        <v>1012</v>
      </c>
      <c r="D135" s="10" t="s">
        <v>442</v>
      </c>
      <c r="E135" s="11">
        <v>946.45</v>
      </c>
      <c r="F135" s="10" t="str">
        <f>IF(tblBank[[#This Row],[Reference]]="","",IFERROR(INDEX(tblLedger[Entry],MATCH(tblBank[[#This Row],[Reference]],tblLedger[Reference],0)),""))</f>
        <v>BNK25-01926</v>
      </c>
      <c r="G13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5" s="10" t="str">
        <f>IF(tblBank[[#This Row],[RefEntry]]&lt;&gt;"",tblBank[[#This Row],[RefEntry]],tblBank[[#This Row],[AmountEntry]])</f>
        <v>BNK25-01926</v>
      </c>
      <c r="I135" s="10" t="str">
        <f>IF(tblBank[[#This Row],[RefEntry]]&lt;&gt;"","Reference",IF(tblBank[[#This Row],[AmountEntry]]&lt;&gt;"","Amount and date","None"))</f>
        <v>Reference</v>
      </c>
      <c r="J135" s="11">
        <f>IF(tblBank[[#This Row],[MatchedEntry]]="","",INDEX(tblLedger[Amount],MATCH(tblBank[[#This Row],[MatchedEntry]],tblLedger[Entry],0)))</f>
        <v>946.45</v>
      </c>
      <c r="K135" s="11">
        <f>IF(tblBank[[#This Row],[MatchedEntry]]="",0,ROUND(tblBank[[#This Row],[Amount]]-tblBank[[#This Row],[BookAmount]],2))</f>
        <v>0</v>
      </c>
      <c r="L135" s="10" t="str">
        <f>IF(tblBank[[#This Row],[MatchedEntry]]="","Not in books",IF(tblBank[[#This Row],[Difference]]&lt;&gt;0,"Amount difference","Matched"))</f>
        <v>Matched</v>
      </c>
      <c r="M13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5" s="10" t="str">
        <f>IF(tblBank[[#This Row],[Status]]="Matched","",COUNTIF(INDEX(tblBank[Status],1):tblBank[[#This Row],[Status]],"&lt;&gt;Matched"))</f>
        <v/>
      </c>
    </row>
    <row r="136" spans="1:15" x14ac:dyDescent="0.25">
      <c r="A136" s="10" t="s">
        <v>1013</v>
      </c>
      <c r="B136" s="6">
        <v>46008</v>
      </c>
      <c r="C136" s="10" t="s">
        <v>1014</v>
      </c>
      <c r="D136" s="10" t="s">
        <v>436</v>
      </c>
      <c r="E136" s="11">
        <v>818.46</v>
      </c>
      <c r="F136" s="10" t="str">
        <f>IF(tblBank[[#This Row],[Reference]]="","",IFERROR(INDEX(tblLedger[Entry],MATCH(tblBank[[#This Row],[Reference]],tblLedger[Reference],0)),""))</f>
        <v>BNK25-01924</v>
      </c>
      <c r="G13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6" s="10" t="str">
        <f>IF(tblBank[[#This Row],[RefEntry]]&lt;&gt;"",tblBank[[#This Row],[RefEntry]],tblBank[[#This Row],[AmountEntry]])</f>
        <v>BNK25-01924</v>
      </c>
      <c r="I136" s="10" t="str">
        <f>IF(tblBank[[#This Row],[RefEntry]]&lt;&gt;"","Reference",IF(tblBank[[#This Row],[AmountEntry]]&lt;&gt;"","Amount and date","None"))</f>
        <v>Reference</v>
      </c>
      <c r="J136" s="11">
        <f>IF(tblBank[[#This Row],[MatchedEntry]]="","",INDEX(tblLedger[Amount],MATCH(tblBank[[#This Row],[MatchedEntry]],tblLedger[Entry],0)))</f>
        <v>818.46</v>
      </c>
      <c r="K136" s="11">
        <f>IF(tblBank[[#This Row],[MatchedEntry]]="",0,ROUND(tblBank[[#This Row],[Amount]]-tblBank[[#This Row],[BookAmount]],2))</f>
        <v>0</v>
      </c>
      <c r="L136" s="10" t="str">
        <f>IF(tblBank[[#This Row],[MatchedEntry]]="","Not in books",IF(tblBank[[#This Row],[Difference]]&lt;&gt;0,"Amount difference","Matched"))</f>
        <v>Matched</v>
      </c>
      <c r="M13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6" s="10" t="str">
        <f>IF(tblBank[[#This Row],[Status]]="Matched","",COUNTIF(INDEX(tblBank[Status],1):tblBank[[#This Row],[Status]],"&lt;&gt;Matched"))</f>
        <v/>
      </c>
    </row>
    <row r="137" spans="1:15" x14ac:dyDescent="0.25">
      <c r="A137" s="10" t="s">
        <v>1015</v>
      </c>
      <c r="B137" s="6">
        <v>46008</v>
      </c>
      <c r="C137" s="10" t="s">
        <v>1016</v>
      </c>
      <c r="D137" s="10" t="s">
        <v>445</v>
      </c>
      <c r="E137" s="11">
        <v>173.03</v>
      </c>
      <c r="F137" s="10" t="str">
        <f>IF(tblBank[[#This Row],[Reference]]="","",IFERROR(INDEX(tblLedger[Entry],MATCH(tblBank[[#This Row],[Reference]],tblLedger[Reference],0)),""))</f>
        <v>BNK25-01927</v>
      </c>
      <c r="G13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7" s="10" t="str">
        <f>IF(tblBank[[#This Row],[RefEntry]]&lt;&gt;"",tblBank[[#This Row],[RefEntry]],tblBank[[#This Row],[AmountEntry]])</f>
        <v>BNK25-01927</v>
      </c>
      <c r="I137" s="10" t="str">
        <f>IF(tblBank[[#This Row],[RefEntry]]&lt;&gt;"","Reference",IF(tblBank[[#This Row],[AmountEntry]]&lt;&gt;"","Amount and date","None"))</f>
        <v>Reference</v>
      </c>
      <c r="J137" s="11">
        <f>IF(tblBank[[#This Row],[MatchedEntry]]="","",INDEX(tblLedger[Amount],MATCH(tblBank[[#This Row],[MatchedEntry]],tblLedger[Entry],0)))</f>
        <v>173.03</v>
      </c>
      <c r="K137" s="11">
        <f>IF(tblBank[[#This Row],[MatchedEntry]]="",0,ROUND(tblBank[[#This Row],[Amount]]-tblBank[[#This Row],[BookAmount]],2))</f>
        <v>0</v>
      </c>
      <c r="L137" s="10" t="str">
        <f>IF(tblBank[[#This Row],[MatchedEntry]]="","Not in books",IF(tblBank[[#This Row],[Difference]]&lt;&gt;0,"Amount difference","Matched"))</f>
        <v>Matched</v>
      </c>
      <c r="M13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7" s="10" t="str">
        <f>IF(tblBank[[#This Row],[Status]]="Matched","",COUNTIF(INDEX(tblBank[Status],1):tblBank[[#This Row],[Status]],"&lt;&gt;Matched"))</f>
        <v/>
      </c>
    </row>
    <row r="138" spans="1:15" x14ac:dyDescent="0.25">
      <c r="A138" s="10" t="s">
        <v>1017</v>
      </c>
      <c r="B138" s="6">
        <v>46009</v>
      </c>
      <c r="C138" s="10" t="s">
        <v>1018</v>
      </c>
      <c r="D138" s="10" t="s">
        <v>454</v>
      </c>
      <c r="E138" s="11">
        <v>45.65</v>
      </c>
      <c r="F138" s="10" t="str">
        <f>IF(tblBank[[#This Row],[Reference]]="","",IFERROR(INDEX(tblLedger[Entry],MATCH(tblBank[[#This Row],[Reference]],tblLedger[Reference],0)),""))</f>
        <v>BNK25-01930</v>
      </c>
      <c r="G13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8" s="10" t="str">
        <f>IF(tblBank[[#This Row],[RefEntry]]&lt;&gt;"",tblBank[[#This Row],[RefEntry]],tblBank[[#This Row],[AmountEntry]])</f>
        <v>BNK25-01930</v>
      </c>
      <c r="I138" s="10" t="str">
        <f>IF(tblBank[[#This Row],[RefEntry]]&lt;&gt;"","Reference",IF(tblBank[[#This Row],[AmountEntry]]&lt;&gt;"","Amount and date","None"))</f>
        <v>Reference</v>
      </c>
      <c r="J138" s="11">
        <f>IF(tblBank[[#This Row],[MatchedEntry]]="","",INDEX(tblLedger[Amount],MATCH(tblBank[[#This Row],[MatchedEntry]],tblLedger[Entry],0)))</f>
        <v>45.65</v>
      </c>
      <c r="K138" s="11">
        <f>IF(tblBank[[#This Row],[MatchedEntry]]="",0,ROUND(tblBank[[#This Row],[Amount]]-tblBank[[#This Row],[BookAmount]],2))</f>
        <v>0</v>
      </c>
      <c r="L138" s="10" t="str">
        <f>IF(tblBank[[#This Row],[MatchedEntry]]="","Not in books",IF(tblBank[[#This Row],[Difference]]&lt;&gt;0,"Amount difference","Matched"))</f>
        <v>Matched</v>
      </c>
      <c r="M13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8" s="10" t="str">
        <f>IF(tblBank[[#This Row],[Status]]="Matched","",COUNTIF(INDEX(tblBank[Status],1):tblBank[[#This Row],[Status]],"&lt;&gt;Matched"))</f>
        <v/>
      </c>
    </row>
    <row r="139" spans="1:15" x14ac:dyDescent="0.25">
      <c r="A139" s="10" t="s">
        <v>1019</v>
      </c>
      <c r="B139" s="6">
        <v>46009</v>
      </c>
      <c r="C139" s="10" t="s">
        <v>1020</v>
      </c>
      <c r="D139" s="10" t="s">
        <v>457</v>
      </c>
      <c r="E139" s="11">
        <v>1116.46</v>
      </c>
      <c r="F139" s="10" t="str">
        <f>IF(tblBank[[#This Row],[Reference]]="","",IFERROR(INDEX(tblLedger[Entry],MATCH(tblBank[[#This Row],[Reference]],tblLedger[Reference],0)),""))</f>
        <v>BNK25-01931</v>
      </c>
      <c r="G13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39" s="10" t="str">
        <f>IF(tblBank[[#This Row],[RefEntry]]&lt;&gt;"",tblBank[[#This Row],[RefEntry]],tblBank[[#This Row],[AmountEntry]])</f>
        <v>BNK25-01931</v>
      </c>
      <c r="I139" s="10" t="str">
        <f>IF(tblBank[[#This Row],[RefEntry]]&lt;&gt;"","Reference",IF(tblBank[[#This Row],[AmountEntry]]&lt;&gt;"","Amount and date","None"))</f>
        <v>Reference</v>
      </c>
      <c r="J139" s="11">
        <f>IF(tblBank[[#This Row],[MatchedEntry]]="","",INDEX(tblLedger[Amount],MATCH(tblBank[[#This Row],[MatchedEntry]],tblLedger[Entry],0)))</f>
        <v>1116.46</v>
      </c>
      <c r="K139" s="11">
        <f>IF(tblBank[[#This Row],[MatchedEntry]]="",0,ROUND(tblBank[[#This Row],[Amount]]-tblBank[[#This Row],[BookAmount]],2))</f>
        <v>0</v>
      </c>
      <c r="L139" s="10" t="str">
        <f>IF(tblBank[[#This Row],[MatchedEntry]]="","Not in books",IF(tblBank[[#This Row],[Difference]]&lt;&gt;0,"Amount difference","Matched"))</f>
        <v>Matched</v>
      </c>
      <c r="M13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3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39" s="10" t="str">
        <f>IF(tblBank[[#This Row],[Status]]="Matched","",COUNTIF(INDEX(tblBank[Status],1):tblBank[[#This Row],[Status]],"&lt;&gt;Matched"))</f>
        <v/>
      </c>
    </row>
    <row r="140" spans="1:15" x14ac:dyDescent="0.25">
      <c r="A140" s="10" t="s">
        <v>1021</v>
      </c>
      <c r="B140" s="6">
        <v>46009</v>
      </c>
      <c r="C140" s="10" t="s">
        <v>1022</v>
      </c>
      <c r="D140" s="10" t="s">
        <v>460</v>
      </c>
      <c r="E140" s="11">
        <v>461.32</v>
      </c>
      <c r="F140" s="10" t="str">
        <f>IF(tblBank[[#This Row],[Reference]]="","",IFERROR(INDEX(tblLedger[Entry],MATCH(tblBank[[#This Row],[Reference]],tblLedger[Reference],0)),""))</f>
        <v>BNK25-01932</v>
      </c>
      <c r="G14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0" s="10" t="str">
        <f>IF(tblBank[[#This Row],[RefEntry]]&lt;&gt;"",tblBank[[#This Row],[RefEntry]],tblBank[[#This Row],[AmountEntry]])</f>
        <v>BNK25-01932</v>
      </c>
      <c r="I140" s="10" t="str">
        <f>IF(tblBank[[#This Row],[RefEntry]]&lt;&gt;"","Reference",IF(tblBank[[#This Row],[AmountEntry]]&lt;&gt;"","Amount and date","None"))</f>
        <v>Reference</v>
      </c>
      <c r="J140" s="11">
        <f>IF(tblBank[[#This Row],[MatchedEntry]]="","",INDEX(tblLedger[Amount],MATCH(tblBank[[#This Row],[MatchedEntry]],tblLedger[Entry],0)))</f>
        <v>461.32</v>
      </c>
      <c r="K140" s="11">
        <f>IF(tblBank[[#This Row],[MatchedEntry]]="",0,ROUND(tblBank[[#This Row],[Amount]]-tblBank[[#This Row],[BookAmount]],2))</f>
        <v>0</v>
      </c>
      <c r="L140" s="10" t="str">
        <f>IF(tblBank[[#This Row],[MatchedEntry]]="","Not in books",IF(tblBank[[#This Row],[Difference]]&lt;&gt;0,"Amount difference","Matched"))</f>
        <v>Matched</v>
      </c>
      <c r="M14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0" s="10" t="str">
        <f>IF(tblBank[[#This Row],[Status]]="Matched","",COUNTIF(INDEX(tblBank[Status],1):tblBank[[#This Row],[Status]],"&lt;&gt;Matched"))</f>
        <v/>
      </c>
    </row>
    <row r="141" spans="1:15" x14ac:dyDescent="0.25">
      <c r="A141" s="10" t="s">
        <v>1023</v>
      </c>
      <c r="B141" s="6">
        <v>46009</v>
      </c>
      <c r="C141" s="10" t="s">
        <v>1024</v>
      </c>
      <c r="D141" s="10" t="s">
        <v>806</v>
      </c>
      <c r="E141" s="11">
        <v>3600</v>
      </c>
      <c r="F141" s="10" t="str">
        <f>IF(tblBank[[#This Row],[Reference]]="","",IFERROR(INDEX(tblLedger[Entry],MATCH(tblBank[[#This Row],[Reference]],tblLedger[Reference],0)),""))</f>
        <v/>
      </c>
      <c r="G14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1" s="10" t="str">
        <f>IF(tblBank[[#This Row],[RefEntry]]&lt;&gt;"",tblBank[[#This Row],[RefEntry]],tblBank[[#This Row],[AmountEntry]])</f>
        <v/>
      </c>
      <c r="I141" s="10" t="str">
        <f>IF(tblBank[[#This Row],[RefEntry]]&lt;&gt;"","Reference",IF(tblBank[[#This Row],[AmountEntry]]&lt;&gt;"","Amount and date","None"))</f>
        <v>None</v>
      </c>
      <c r="J141" s="11" t="str">
        <f>IF(tblBank[[#This Row],[MatchedEntry]]="","",INDEX(tblLedger[Amount],MATCH(tblBank[[#This Row],[MatchedEntry]],tblLedger[Entry],0)))</f>
        <v/>
      </c>
      <c r="K141" s="11">
        <f>IF(tblBank[[#This Row],[MatchedEntry]]="",0,ROUND(tblBank[[#This Row],[Amount]]-tblBank[[#This Row],[BookAmount]],2))</f>
        <v>0</v>
      </c>
      <c r="L141" s="10" t="str">
        <f>IF(tblBank[[#This Row],[MatchedEntry]]="","Not in books",IF(tblBank[[#This Row],[Difference]]&lt;&gt;0,"Amount difference","Matched"))</f>
        <v>Not in books</v>
      </c>
      <c r="M14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Unidentified receipt</v>
      </c>
      <c r="N14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Identify the customer and allocate the receipt (suspense 471000 meanwhile)</v>
      </c>
      <c r="O141" s="10">
        <f>IF(tblBank[[#This Row],[Status]]="Matched","",COUNTIF(INDEX(tblBank[Status],1):tblBank[[#This Row],[Status]],"&lt;&gt;Matched"))</f>
        <v>4</v>
      </c>
    </row>
    <row r="142" spans="1:15" x14ac:dyDescent="0.25">
      <c r="A142" s="10" t="s">
        <v>1025</v>
      </c>
      <c r="B142" s="6">
        <v>46009</v>
      </c>
      <c r="C142" s="10" t="s">
        <v>1026</v>
      </c>
      <c r="D142" s="10" t="s">
        <v>466</v>
      </c>
      <c r="E142" s="11">
        <v>444.49</v>
      </c>
      <c r="F142" s="10" t="str">
        <f>IF(tblBank[[#This Row],[Reference]]="","",IFERROR(INDEX(tblLedger[Entry],MATCH(tblBank[[#This Row],[Reference]],tblLedger[Reference],0)),""))</f>
        <v>BNK25-01934</v>
      </c>
      <c r="G14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2" s="10" t="str">
        <f>IF(tblBank[[#This Row],[RefEntry]]&lt;&gt;"",tblBank[[#This Row],[RefEntry]],tblBank[[#This Row],[AmountEntry]])</f>
        <v>BNK25-01934</v>
      </c>
      <c r="I142" s="10" t="str">
        <f>IF(tblBank[[#This Row],[RefEntry]]&lt;&gt;"","Reference",IF(tblBank[[#This Row],[AmountEntry]]&lt;&gt;"","Amount and date","None"))</f>
        <v>Reference</v>
      </c>
      <c r="J142" s="11">
        <f>IF(tblBank[[#This Row],[MatchedEntry]]="","",INDEX(tblLedger[Amount],MATCH(tblBank[[#This Row],[MatchedEntry]],tblLedger[Entry],0)))</f>
        <v>444.49</v>
      </c>
      <c r="K142" s="11">
        <f>IF(tblBank[[#This Row],[MatchedEntry]]="",0,ROUND(tblBank[[#This Row],[Amount]]-tblBank[[#This Row],[BookAmount]],2))</f>
        <v>0</v>
      </c>
      <c r="L142" s="10" t="str">
        <f>IF(tblBank[[#This Row],[MatchedEntry]]="","Not in books",IF(tblBank[[#This Row],[Difference]]&lt;&gt;0,"Amount difference","Matched"))</f>
        <v>Matched</v>
      </c>
      <c r="M14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2" s="10" t="str">
        <f>IF(tblBank[[#This Row],[Status]]="Matched","",COUNTIF(INDEX(tblBank[Status],1):tblBank[[#This Row],[Status]],"&lt;&gt;Matched"))</f>
        <v/>
      </c>
    </row>
    <row r="143" spans="1:15" x14ac:dyDescent="0.25">
      <c r="A143" s="10" t="s">
        <v>1027</v>
      </c>
      <c r="B143" s="6">
        <v>46009</v>
      </c>
      <c r="C143" s="10" t="s">
        <v>1028</v>
      </c>
      <c r="D143" s="10" t="s">
        <v>463</v>
      </c>
      <c r="E143" s="11">
        <v>640.87</v>
      </c>
      <c r="F143" s="10" t="str">
        <f>IF(tblBank[[#This Row],[Reference]]="","",IFERROR(INDEX(tblLedger[Entry],MATCH(tblBank[[#This Row],[Reference]],tblLedger[Reference],0)),""))</f>
        <v>BNK25-01933</v>
      </c>
      <c r="G14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3" s="10" t="str">
        <f>IF(tblBank[[#This Row],[RefEntry]]&lt;&gt;"",tblBank[[#This Row],[RefEntry]],tblBank[[#This Row],[AmountEntry]])</f>
        <v>BNK25-01933</v>
      </c>
      <c r="I143" s="10" t="str">
        <f>IF(tblBank[[#This Row],[RefEntry]]&lt;&gt;"","Reference",IF(tblBank[[#This Row],[AmountEntry]]&lt;&gt;"","Amount and date","None"))</f>
        <v>Reference</v>
      </c>
      <c r="J143" s="11">
        <f>IF(tblBank[[#This Row],[MatchedEntry]]="","",INDEX(tblLedger[Amount],MATCH(tblBank[[#This Row],[MatchedEntry]],tblLedger[Entry],0)))</f>
        <v>640.87</v>
      </c>
      <c r="K143" s="11">
        <f>IF(tblBank[[#This Row],[MatchedEntry]]="",0,ROUND(tblBank[[#This Row],[Amount]]-tblBank[[#This Row],[BookAmount]],2))</f>
        <v>0</v>
      </c>
      <c r="L143" s="10" t="str">
        <f>IF(tblBank[[#This Row],[MatchedEntry]]="","Not in books",IF(tblBank[[#This Row],[Difference]]&lt;&gt;0,"Amount difference","Matched"))</f>
        <v>Matched</v>
      </c>
      <c r="M14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3" s="10" t="str">
        <f>IF(tblBank[[#This Row],[Status]]="Matched","",COUNTIF(INDEX(tblBank[Status],1):tblBank[[#This Row],[Status]],"&lt;&gt;Matched"))</f>
        <v/>
      </c>
    </row>
    <row r="144" spans="1:15" x14ac:dyDescent="0.25">
      <c r="A144" s="10" t="s">
        <v>1029</v>
      </c>
      <c r="B144" s="6">
        <v>46010</v>
      </c>
      <c r="C144" s="10" t="s">
        <v>1030</v>
      </c>
      <c r="D144" s="10" t="s">
        <v>484</v>
      </c>
      <c r="E144" s="11">
        <v>-318.62</v>
      </c>
      <c r="F144" s="10" t="str">
        <f>IF(tblBank[[#This Row],[Reference]]="","",IFERROR(INDEX(tblLedger[Entry],MATCH(tblBank[[#This Row],[Reference]],tblLedger[Reference],0)),""))</f>
        <v>BNK25-01940</v>
      </c>
      <c r="G14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4" s="10" t="str">
        <f>IF(tblBank[[#This Row],[RefEntry]]&lt;&gt;"",tblBank[[#This Row],[RefEntry]],tblBank[[#This Row],[AmountEntry]])</f>
        <v>BNK25-01940</v>
      </c>
      <c r="I144" s="10" t="str">
        <f>IF(tblBank[[#This Row],[RefEntry]]&lt;&gt;"","Reference",IF(tblBank[[#This Row],[AmountEntry]]&lt;&gt;"","Amount and date","None"))</f>
        <v>Reference</v>
      </c>
      <c r="J144" s="11">
        <f>IF(tblBank[[#This Row],[MatchedEntry]]="","",INDEX(tblLedger[Amount],MATCH(tblBank[[#This Row],[MatchedEntry]],tblLedger[Entry],0)))</f>
        <v>-318.62</v>
      </c>
      <c r="K144" s="11">
        <f>IF(tblBank[[#This Row],[MatchedEntry]]="",0,ROUND(tblBank[[#This Row],[Amount]]-tblBank[[#This Row],[BookAmount]],2))</f>
        <v>0</v>
      </c>
      <c r="L144" s="10" t="str">
        <f>IF(tblBank[[#This Row],[MatchedEntry]]="","Not in books",IF(tblBank[[#This Row],[Difference]]&lt;&gt;0,"Amount difference","Matched"))</f>
        <v>Matched</v>
      </c>
      <c r="M14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4" s="10" t="str">
        <f>IF(tblBank[[#This Row],[Status]]="Matched","",COUNTIF(INDEX(tblBank[Status],1):tblBank[[#This Row],[Status]],"&lt;&gt;Matched"))</f>
        <v/>
      </c>
    </row>
    <row r="145" spans="1:15" x14ac:dyDescent="0.25">
      <c r="A145" s="10" t="s">
        <v>1031</v>
      </c>
      <c r="B145" s="6">
        <v>46010</v>
      </c>
      <c r="C145" s="10" t="s">
        <v>1032</v>
      </c>
      <c r="D145" s="10" t="s">
        <v>451</v>
      </c>
      <c r="E145" s="11">
        <v>-34.450000000000003</v>
      </c>
      <c r="F145" s="10" t="str">
        <f>IF(tblBank[[#This Row],[Reference]]="","",IFERROR(INDEX(tblLedger[Entry],MATCH(tblBank[[#This Row],[Reference]],tblLedger[Reference],0)),""))</f>
        <v>BNK25-01929</v>
      </c>
      <c r="G14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5" s="10" t="str">
        <f>IF(tblBank[[#This Row],[RefEntry]]&lt;&gt;"",tblBank[[#This Row],[RefEntry]],tblBank[[#This Row],[AmountEntry]])</f>
        <v>BNK25-01929</v>
      </c>
      <c r="I145" s="10" t="str">
        <f>IF(tblBank[[#This Row],[RefEntry]]&lt;&gt;"","Reference",IF(tblBank[[#This Row],[AmountEntry]]&lt;&gt;"","Amount and date","None"))</f>
        <v>Reference</v>
      </c>
      <c r="J145" s="11">
        <f>IF(tblBank[[#This Row],[MatchedEntry]]="","",INDEX(tblLedger[Amount],MATCH(tblBank[[#This Row],[MatchedEntry]],tblLedger[Entry],0)))</f>
        <v>-34.450000000000003</v>
      </c>
      <c r="K145" s="11">
        <f>IF(tblBank[[#This Row],[MatchedEntry]]="",0,ROUND(tblBank[[#This Row],[Amount]]-tblBank[[#This Row],[BookAmount]],2))</f>
        <v>0</v>
      </c>
      <c r="L145" s="10" t="str">
        <f>IF(tblBank[[#This Row],[MatchedEntry]]="","Not in books",IF(tblBank[[#This Row],[Difference]]&lt;&gt;0,"Amount difference","Matched"))</f>
        <v>Matched</v>
      </c>
      <c r="M14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5" s="10" t="str">
        <f>IF(tblBank[[#This Row],[Status]]="Matched","",COUNTIF(INDEX(tblBank[Status],1):tblBank[[#This Row],[Status]],"&lt;&gt;Matched"))</f>
        <v/>
      </c>
    </row>
    <row r="146" spans="1:15" x14ac:dyDescent="0.25">
      <c r="A146" s="10" t="s">
        <v>1033</v>
      </c>
      <c r="B146" s="6">
        <v>46010</v>
      </c>
      <c r="C146" s="10" t="s">
        <v>1034</v>
      </c>
      <c r="D146" s="10" t="s">
        <v>472</v>
      </c>
      <c r="E146" s="11">
        <v>1057.02</v>
      </c>
      <c r="F146" s="10" t="str">
        <f>IF(tblBank[[#This Row],[Reference]]="","",IFERROR(INDEX(tblLedger[Entry],MATCH(tblBank[[#This Row],[Reference]],tblLedger[Reference],0)),""))</f>
        <v>BNK25-01936</v>
      </c>
      <c r="G14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6" s="10" t="str">
        <f>IF(tblBank[[#This Row],[RefEntry]]&lt;&gt;"",tblBank[[#This Row],[RefEntry]],tblBank[[#This Row],[AmountEntry]])</f>
        <v>BNK25-01936</v>
      </c>
      <c r="I146" s="10" t="str">
        <f>IF(tblBank[[#This Row],[RefEntry]]&lt;&gt;"","Reference",IF(tblBank[[#This Row],[AmountEntry]]&lt;&gt;"","Amount and date","None"))</f>
        <v>Reference</v>
      </c>
      <c r="J146" s="11">
        <f>IF(tblBank[[#This Row],[MatchedEntry]]="","",INDEX(tblLedger[Amount],MATCH(tblBank[[#This Row],[MatchedEntry]],tblLedger[Entry],0)))</f>
        <v>1057.02</v>
      </c>
      <c r="K146" s="11">
        <f>IF(tblBank[[#This Row],[MatchedEntry]]="",0,ROUND(tblBank[[#This Row],[Amount]]-tblBank[[#This Row],[BookAmount]],2))</f>
        <v>0</v>
      </c>
      <c r="L146" s="10" t="str">
        <f>IF(tblBank[[#This Row],[MatchedEntry]]="","Not in books",IF(tblBank[[#This Row],[Difference]]&lt;&gt;0,"Amount difference","Matched"))</f>
        <v>Matched</v>
      </c>
      <c r="M14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6" s="10" t="str">
        <f>IF(tblBank[[#This Row],[Status]]="Matched","",COUNTIF(INDEX(tblBank[Status],1):tblBank[[#This Row],[Status]],"&lt;&gt;Matched"))</f>
        <v/>
      </c>
    </row>
    <row r="147" spans="1:15" x14ac:dyDescent="0.25">
      <c r="A147" s="10" t="s">
        <v>1035</v>
      </c>
      <c r="B147" s="6">
        <v>46010</v>
      </c>
      <c r="C147" s="10" t="s">
        <v>1036</v>
      </c>
      <c r="D147" s="10" t="s">
        <v>475</v>
      </c>
      <c r="E147" s="11">
        <v>1407.65</v>
      </c>
      <c r="F147" s="10" t="str">
        <f>IF(tblBank[[#This Row],[Reference]]="","",IFERROR(INDEX(tblLedger[Entry],MATCH(tblBank[[#This Row],[Reference]],tblLedger[Reference],0)),""))</f>
        <v>BNK25-01937</v>
      </c>
      <c r="G14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7" s="10" t="str">
        <f>IF(tblBank[[#This Row],[RefEntry]]&lt;&gt;"",tblBank[[#This Row],[RefEntry]],tblBank[[#This Row],[AmountEntry]])</f>
        <v>BNK25-01937</v>
      </c>
      <c r="I147" s="10" t="str">
        <f>IF(tblBank[[#This Row],[RefEntry]]&lt;&gt;"","Reference",IF(tblBank[[#This Row],[AmountEntry]]&lt;&gt;"","Amount and date","None"))</f>
        <v>Reference</v>
      </c>
      <c r="J147" s="11">
        <f>IF(tblBank[[#This Row],[MatchedEntry]]="","",INDEX(tblLedger[Amount],MATCH(tblBank[[#This Row],[MatchedEntry]],tblLedger[Entry],0)))</f>
        <v>1407.65</v>
      </c>
      <c r="K147" s="11">
        <f>IF(tblBank[[#This Row],[MatchedEntry]]="",0,ROUND(tblBank[[#This Row],[Amount]]-tblBank[[#This Row],[BookAmount]],2))</f>
        <v>0</v>
      </c>
      <c r="L147" s="10" t="str">
        <f>IF(tblBank[[#This Row],[MatchedEntry]]="","Not in books",IF(tblBank[[#This Row],[Difference]]&lt;&gt;0,"Amount difference","Matched"))</f>
        <v>Matched</v>
      </c>
      <c r="M14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7" s="10" t="str">
        <f>IF(tblBank[[#This Row],[Status]]="Matched","",COUNTIF(INDEX(tblBank[Status],1):tblBank[[#This Row],[Status]],"&lt;&gt;Matched"))</f>
        <v/>
      </c>
    </row>
    <row r="148" spans="1:15" x14ac:dyDescent="0.25">
      <c r="A148" s="10" t="s">
        <v>1037</v>
      </c>
      <c r="B148" s="6">
        <v>46010</v>
      </c>
      <c r="C148" s="10" t="s">
        <v>805</v>
      </c>
      <c r="D148" s="10" t="s">
        <v>806</v>
      </c>
      <c r="E148" s="11">
        <v>2342.23</v>
      </c>
      <c r="F148" s="10" t="str">
        <f>IF(tblBank[[#This Row],[Reference]]="","",IFERROR(INDEX(tblLedger[Entry],MATCH(tblBank[[#This Row],[Reference]],tblLedger[Reference],0)),""))</f>
        <v/>
      </c>
      <c r="G14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BNK25-01942</v>
      </c>
      <c r="H148" s="10" t="str">
        <f>IF(tblBank[[#This Row],[RefEntry]]&lt;&gt;"",tblBank[[#This Row],[RefEntry]],tblBank[[#This Row],[AmountEntry]])</f>
        <v>BNK25-01942</v>
      </c>
      <c r="I148" s="10" t="str">
        <f>IF(tblBank[[#This Row],[RefEntry]]&lt;&gt;"","Reference",IF(tblBank[[#This Row],[AmountEntry]]&lt;&gt;"","Amount and date","None"))</f>
        <v>Amount and date</v>
      </c>
      <c r="J148" s="11">
        <f>IF(tblBank[[#This Row],[MatchedEntry]]="","",INDEX(tblLedger[Amount],MATCH(tblBank[[#This Row],[MatchedEntry]],tblLedger[Entry],0)))</f>
        <v>2342.23</v>
      </c>
      <c r="K148" s="11">
        <f>IF(tblBank[[#This Row],[MatchedEntry]]="",0,ROUND(tblBank[[#This Row],[Amount]]-tblBank[[#This Row],[BookAmount]],2))</f>
        <v>0</v>
      </c>
      <c r="L148" s="10" t="str">
        <f>IF(tblBank[[#This Row],[MatchedEntry]]="","Not in books",IF(tblBank[[#This Row],[Difference]]&lt;&gt;0,"Amount difference","Matched"))</f>
        <v>Matched</v>
      </c>
      <c r="M14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8" s="10" t="str">
        <f>IF(tblBank[[#This Row],[Status]]="Matched","",COUNTIF(INDEX(tblBank[Status],1):tblBank[[#This Row],[Status]],"&lt;&gt;Matched"))</f>
        <v/>
      </c>
    </row>
    <row r="149" spans="1:15" x14ac:dyDescent="0.25">
      <c r="A149" s="10" t="s">
        <v>1038</v>
      </c>
      <c r="B149" s="6">
        <v>46010</v>
      </c>
      <c r="C149" s="10" t="s">
        <v>1039</v>
      </c>
      <c r="D149" s="10" t="s">
        <v>478</v>
      </c>
      <c r="E149" s="11">
        <v>546.04999999999995</v>
      </c>
      <c r="F149" s="10" t="str">
        <f>IF(tblBank[[#This Row],[Reference]]="","",IFERROR(INDEX(tblLedger[Entry],MATCH(tblBank[[#This Row],[Reference]],tblLedger[Reference],0)),""))</f>
        <v>BNK25-01938</v>
      </c>
      <c r="G14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49" s="10" t="str">
        <f>IF(tblBank[[#This Row],[RefEntry]]&lt;&gt;"",tblBank[[#This Row],[RefEntry]],tblBank[[#This Row],[AmountEntry]])</f>
        <v>BNK25-01938</v>
      </c>
      <c r="I149" s="10" t="str">
        <f>IF(tblBank[[#This Row],[RefEntry]]&lt;&gt;"","Reference",IF(tblBank[[#This Row],[AmountEntry]]&lt;&gt;"","Amount and date","None"))</f>
        <v>Reference</v>
      </c>
      <c r="J149" s="11">
        <f>IF(tblBank[[#This Row],[MatchedEntry]]="","",INDEX(tblLedger[Amount],MATCH(tblBank[[#This Row],[MatchedEntry]],tblLedger[Entry],0)))</f>
        <v>546.04999999999995</v>
      </c>
      <c r="K149" s="11">
        <f>IF(tblBank[[#This Row],[MatchedEntry]]="",0,ROUND(tblBank[[#This Row],[Amount]]-tblBank[[#This Row],[BookAmount]],2))</f>
        <v>0</v>
      </c>
      <c r="L149" s="10" t="str">
        <f>IF(tblBank[[#This Row],[MatchedEntry]]="","Not in books",IF(tblBank[[#This Row],[Difference]]&lt;&gt;0,"Amount difference","Matched"))</f>
        <v>Matched</v>
      </c>
      <c r="M14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4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49" s="10" t="str">
        <f>IF(tblBank[[#This Row],[Status]]="Matched","",COUNTIF(INDEX(tblBank[Status],1):tblBank[[#This Row],[Status]],"&lt;&gt;Matched"))</f>
        <v/>
      </c>
    </row>
    <row r="150" spans="1:15" x14ac:dyDescent="0.25">
      <c r="A150" s="10" t="s">
        <v>1040</v>
      </c>
      <c r="B150" s="6">
        <v>46010</v>
      </c>
      <c r="C150" s="10" t="s">
        <v>948</v>
      </c>
      <c r="D150" s="10" t="s">
        <v>806</v>
      </c>
      <c r="E150" s="11">
        <v>991.91</v>
      </c>
      <c r="F150" s="10" t="str">
        <f>IF(tblBank[[#This Row],[Reference]]="","",IFERROR(INDEX(tblLedger[Entry],MATCH(tblBank[[#This Row],[Reference]],tblLedger[Reference],0)),""))</f>
        <v/>
      </c>
      <c r="G15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BNK25-01943</v>
      </c>
      <c r="H150" s="10" t="str">
        <f>IF(tblBank[[#This Row],[RefEntry]]&lt;&gt;"",tblBank[[#This Row],[RefEntry]],tblBank[[#This Row],[AmountEntry]])</f>
        <v>BNK25-01943</v>
      </c>
      <c r="I150" s="10" t="str">
        <f>IF(tblBank[[#This Row],[RefEntry]]&lt;&gt;"","Reference",IF(tblBank[[#This Row],[AmountEntry]]&lt;&gt;"","Amount and date","None"))</f>
        <v>Amount and date</v>
      </c>
      <c r="J150" s="11">
        <f>IF(tblBank[[#This Row],[MatchedEntry]]="","",INDEX(tblLedger[Amount],MATCH(tblBank[[#This Row],[MatchedEntry]],tblLedger[Entry],0)))</f>
        <v>991.91</v>
      </c>
      <c r="K150" s="11">
        <f>IF(tblBank[[#This Row],[MatchedEntry]]="",0,ROUND(tblBank[[#This Row],[Amount]]-tblBank[[#This Row],[BookAmount]],2))</f>
        <v>0</v>
      </c>
      <c r="L150" s="10" t="str">
        <f>IF(tblBank[[#This Row],[MatchedEntry]]="","Not in books",IF(tblBank[[#This Row],[Difference]]&lt;&gt;0,"Amount difference","Matched"))</f>
        <v>Matched</v>
      </c>
      <c r="M15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0" s="10" t="str">
        <f>IF(tblBank[[#This Row],[Status]]="Matched","",COUNTIF(INDEX(tblBank[Status],1):tblBank[[#This Row],[Status]],"&lt;&gt;Matched"))</f>
        <v/>
      </c>
    </row>
    <row r="151" spans="1:15" x14ac:dyDescent="0.25">
      <c r="A151" s="10" t="s">
        <v>1041</v>
      </c>
      <c r="B151" s="6">
        <v>46010</v>
      </c>
      <c r="C151" s="10" t="s">
        <v>1042</v>
      </c>
      <c r="D151" s="10" t="s">
        <v>487</v>
      </c>
      <c r="E151" s="11">
        <v>7355.62</v>
      </c>
      <c r="F151" s="10" t="str">
        <f>IF(tblBank[[#This Row],[Reference]]="","",IFERROR(INDEX(tblLedger[Entry],MATCH(tblBank[[#This Row],[Reference]],tblLedger[Reference],0)),""))</f>
        <v>BNK25-01941</v>
      </c>
      <c r="G15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1" s="10" t="str">
        <f>IF(tblBank[[#This Row],[RefEntry]]&lt;&gt;"",tblBank[[#This Row],[RefEntry]],tblBank[[#This Row],[AmountEntry]])</f>
        <v>BNK25-01941</v>
      </c>
      <c r="I151" s="10" t="str">
        <f>IF(tblBank[[#This Row],[RefEntry]]&lt;&gt;"","Reference",IF(tblBank[[#This Row],[AmountEntry]]&lt;&gt;"","Amount and date","None"))</f>
        <v>Reference</v>
      </c>
      <c r="J151" s="11">
        <f>IF(tblBank[[#This Row],[MatchedEntry]]="","",INDEX(tblLedger[Amount],MATCH(tblBank[[#This Row],[MatchedEntry]],tblLedger[Entry],0)))</f>
        <v>7355.62</v>
      </c>
      <c r="K151" s="11">
        <f>IF(tblBank[[#This Row],[MatchedEntry]]="",0,ROUND(tblBank[[#This Row],[Amount]]-tblBank[[#This Row],[BookAmount]],2))</f>
        <v>0</v>
      </c>
      <c r="L151" s="10" t="str">
        <f>IF(tblBank[[#This Row],[MatchedEntry]]="","Not in books",IF(tblBank[[#This Row],[Difference]]&lt;&gt;0,"Amount difference","Matched"))</f>
        <v>Matched</v>
      </c>
      <c r="M15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1" s="10" t="str">
        <f>IF(tblBank[[#This Row],[Status]]="Matched","",COUNTIF(INDEX(tblBank[Status],1):tblBank[[#This Row],[Status]],"&lt;&gt;Matched"))</f>
        <v/>
      </c>
    </row>
    <row r="152" spans="1:15" x14ac:dyDescent="0.25">
      <c r="A152" s="10" t="s">
        <v>1043</v>
      </c>
      <c r="B152" s="6">
        <v>46010</v>
      </c>
      <c r="C152" s="10" t="s">
        <v>1044</v>
      </c>
      <c r="D152" s="10" t="s">
        <v>481</v>
      </c>
      <c r="E152" s="11">
        <v>4058.93</v>
      </c>
      <c r="F152" s="10" t="str">
        <f>IF(tblBank[[#This Row],[Reference]]="","",IFERROR(INDEX(tblLedger[Entry],MATCH(tblBank[[#This Row],[Reference]],tblLedger[Reference],0)),""))</f>
        <v>BNK25-01939</v>
      </c>
      <c r="G15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2" s="10" t="str">
        <f>IF(tblBank[[#This Row],[RefEntry]]&lt;&gt;"",tblBank[[#This Row],[RefEntry]],tblBank[[#This Row],[AmountEntry]])</f>
        <v>BNK25-01939</v>
      </c>
      <c r="I152" s="10" t="str">
        <f>IF(tblBank[[#This Row],[RefEntry]]&lt;&gt;"","Reference",IF(tblBank[[#This Row],[AmountEntry]]&lt;&gt;"","Amount and date","None"))</f>
        <v>Reference</v>
      </c>
      <c r="J152" s="11">
        <f>IF(tblBank[[#This Row],[MatchedEntry]]="","",INDEX(tblLedger[Amount],MATCH(tblBank[[#This Row],[MatchedEntry]],tblLedger[Entry],0)))</f>
        <v>4058.93</v>
      </c>
      <c r="K152" s="11">
        <f>IF(tblBank[[#This Row],[MatchedEntry]]="",0,ROUND(tblBank[[#This Row],[Amount]]-tblBank[[#This Row],[BookAmount]],2))</f>
        <v>0</v>
      </c>
      <c r="L152" s="10" t="str">
        <f>IF(tblBank[[#This Row],[MatchedEntry]]="","Not in books",IF(tblBank[[#This Row],[Difference]]&lt;&gt;0,"Amount difference","Matched"))</f>
        <v>Matched</v>
      </c>
      <c r="M15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2" s="10" t="str">
        <f>IF(tblBank[[#This Row],[Status]]="Matched","",COUNTIF(INDEX(tblBank[Status],1):tblBank[[#This Row],[Status]],"&lt;&gt;Matched"))</f>
        <v/>
      </c>
    </row>
    <row r="153" spans="1:15" x14ac:dyDescent="0.25">
      <c r="A153" s="10" t="s">
        <v>1045</v>
      </c>
      <c r="B153" s="6">
        <v>46010</v>
      </c>
      <c r="C153" s="10" t="s">
        <v>1046</v>
      </c>
      <c r="D153" s="10" t="s">
        <v>496</v>
      </c>
      <c r="E153" s="11">
        <v>2707.22</v>
      </c>
      <c r="F153" s="10" t="str">
        <f>IF(tblBank[[#This Row],[Reference]]="","",IFERROR(INDEX(tblLedger[Entry],MATCH(tblBank[[#This Row],[Reference]],tblLedger[Reference],0)),""))</f>
        <v>BNK25-01944</v>
      </c>
      <c r="G15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3" s="10" t="str">
        <f>IF(tblBank[[#This Row],[RefEntry]]&lt;&gt;"",tblBank[[#This Row],[RefEntry]],tblBank[[#This Row],[AmountEntry]])</f>
        <v>BNK25-01944</v>
      </c>
      <c r="I153" s="10" t="str">
        <f>IF(tblBank[[#This Row],[RefEntry]]&lt;&gt;"","Reference",IF(tblBank[[#This Row],[AmountEntry]]&lt;&gt;"","Amount and date","None"))</f>
        <v>Reference</v>
      </c>
      <c r="J153" s="11">
        <f>IF(tblBank[[#This Row],[MatchedEntry]]="","",INDEX(tblLedger[Amount],MATCH(tblBank[[#This Row],[MatchedEntry]],tblLedger[Entry],0)))</f>
        <v>2707.22</v>
      </c>
      <c r="K153" s="11">
        <f>IF(tblBank[[#This Row],[MatchedEntry]]="",0,ROUND(tblBank[[#This Row],[Amount]]-tblBank[[#This Row],[BookAmount]],2))</f>
        <v>0</v>
      </c>
      <c r="L153" s="10" t="str">
        <f>IF(tblBank[[#This Row],[MatchedEntry]]="","Not in books",IF(tblBank[[#This Row],[Difference]]&lt;&gt;0,"Amount difference","Matched"))</f>
        <v>Matched</v>
      </c>
      <c r="M15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3" s="10" t="str">
        <f>IF(tblBank[[#This Row],[Status]]="Matched","",COUNTIF(INDEX(tblBank[Status],1):tblBank[[#This Row],[Status]],"&lt;&gt;Matched"))</f>
        <v/>
      </c>
    </row>
    <row r="154" spans="1:15" x14ac:dyDescent="0.25">
      <c r="A154" s="10" t="s">
        <v>1047</v>
      </c>
      <c r="B154" s="6">
        <v>46013</v>
      </c>
      <c r="C154" s="10" t="s">
        <v>993</v>
      </c>
      <c r="D154" s="10" t="s">
        <v>806</v>
      </c>
      <c r="E154" s="11">
        <v>-8</v>
      </c>
      <c r="F154" s="10" t="str">
        <f>IF(tblBank[[#This Row],[Reference]]="","",IFERROR(INDEX(tblLedger[Entry],MATCH(tblBank[[#This Row],[Reference]],tblLedger[Reference],0)),""))</f>
        <v/>
      </c>
      <c r="G15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4" s="10" t="str">
        <f>IF(tblBank[[#This Row],[RefEntry]]&lt;&gt;"",tblBank[[#This Row],[RefEntry]],tblBank[[#This Row],[AmountEntry]])</f>
        <v/>
      </c>
      <c r="I154" s="10" t="str">
        <f>IF(tblBank[[#This Row],[RefEntry]]&lt;&gt;"","Reference",IF(tblBank[[#This Row],[AmountEntry]]&lt;&gt;"","Amount and date","None"))</f>
        <v>None</v>
      </c>
      <c r="J154" s="11" t="str">
        <f>IF(tblBank[[#This Row],[MatchedEntry]]="","",INDEX(tblLedger[Amount],MATCH(tblBank[[#This Row],[MatchedEntry]],tblLedger[Entry],0)))</f>
        <v/>
      </c>
      <c r="K154" s="11">
        <f>IF(tblBank[[#This Row],[MatchedEntry]]="",0,ROUND(tblBank[[#This Row],[Amount]]-tblBank[[#This Row],[BookAmount]],2))</f>
        <v>0</v>
      </c>
      <c r="L154" s="10" t="str">
        <f>IF(tblBank[[#This Row],[MatchedEntry]]="","Not in books",IF(tblBank[[#This Row],[Difference]]&lt;&gt;0,"Amount difference","Matched"))</f>
        <v>Not in books</v>
      </c>
      <c r="M15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Bank charges</v>
      </c>
      <c r="N15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Book the bank charges</v>
      </c>
      <c r="O154" s="10">
        <f>IF(tblBank[[#This Row],[Status]]="Matched","",COUNTIF(INDEX(tblBank[Status],1):tblBank[[#This Row],[Status]],"&lt;&gt;Matched"))</f>
        <v>5</v>
      </c>
    </row>
    <row r="155" spans="1:15" x14ac:dyDescent="0.25">
      <c r="A155" s="10" t="s">
        <v>1048</v>
      </c>
      <c r="B155" s="6">
        <v>46013</v>
      </c>
      <c r="C155" s="10" t="s">
        <v>1049</v>
      </c>
      <c r="D155" s="10" t="s">
        <v>499</v>
      </c>
      <c r="E155" s="11">
        <v>-5014.04</v>
      </c>
      <c r="F155" s="10" t="str">
        <f>IF(tblBank[[#This Row],[Reference]]="","",IFERROR(INDEX(tblLedger[Entry],MATCH(tblBank[[#This Row],[Reference]],tblLedger[Reference],0)),""))</f>
        <v>BNK25-01945</v>
      </c>
      <c r="G15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5" s="10" t="str">
        <f>IF(tblBank[[#This Row],[RefEntry]]&lt;&gt;"",tblBank[[#This Row],[RefEntry]],tblBank[[#This Row],[AmountEntry]])</f>
        <v>BNK25-01945</v>
      </c>
      <c r="I155" s="10" t="str">
        <f>IF(tblBank[[#This Row],[RefEntry]]&lt;&gt;"","Reference",IF(tblBank[[#This Row],[AmountEntry]]&lt;&gt;"","Amount and date","None"))</f>
        <v>Reference</v>
      </c>
      <c r="J155" s="11">
        <f>IF(tblBank[[#This Row],[MatchedEntry]]="","",INDEX(tblLedger[Amount],MATCH(tblBank[[#This Row],[MatchedEntry]],tblLedger[Entry],0)))</f>
        <v>-5014.04</v>
      </c>
      <c r="K155" s="11">
        <f>IF(tblBank[[#This Row],[MatchedEntry]]="",0,ROUND(tblBank[[#This Row],[Amount]]-tblBank[[#This Row],[BookAmount]],2))</f>
        <v>0</v>
      </c>
      <c r="L155" s="10" t="str">
        <f>IF(tblBank[[#This Row],[MatchedEntry]]="","Not in books",IF(tblBank[[#This Row],[Difference]]&lt;&gt;0,"Amount difference","Matched"))</f>
        <v>Matched</v>
      </c>
      <c r="M15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5" s="10" t="str">
        <f>IF(tblBank[[#This Row],[Status]]="Matched","",COUNTIF(INDEX(tblBank[Status],1):tblBank[[#This Row],[Status]],"&lt;&gt;Matched"))</f>
        <v/>
      </c>
    </row>
    <row r="156" spans="1:15" x14ac:dyDescent="0.25">
      <c r="A156" s="10" t="s">
        <v>1050</v>
      </c>
      <c r="B156" s="6">
        <v>46013</v>
      </c>
      <c r="C156" s="10" t="s">
        <v>1051</v>
      </c>
      <c r="D156" s="10" t="s">
        <v>559</v>
      </c>
      <c r="E156" s="11">
        <v>-797.15</v>
      </c>
      <c r="F156" s="10" t="str">
        <f>IF(tblBank[[#This Row],[Reference]]="","",IFERROR(INDEX(tblLedger[Entry],MATCH(tblBank[[#This Row],[Reference]],tblLedger[Reference],0)),""))</f>
        <v>BNK25-01965</v>
      </c>
      <c r="G15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6" s="10" t="str">
        <f>IF(tblBank[[#This Row],[RefEntry]]&lt;&gt;"",tblBank[[#This Row],[RefEntry]],tblBank[[#This Row],[AmountEntry]])</f>
        <v>BNK25-01965</v>
      </c>
      <c r="I156" s="10" t="str">
        <f>IF(tblBank[[#This Row],[RefEntry]]&lt;&gt;"","Reference",IF(tblBank[[#This Row],[AmountEntry]]&lt;&gt;"","Amount and date","None"))</f>
        <v>Reference</v>
      </c>
      <c r="J156" s="11">
        <f>IF(tblBank[[#This Row],[MatchedEntry]]="","",INDEX(tblLedger[Amount],MATCH(tblBank[[#This Row],[MatchedEntry]],tblLedger[Entry],0)))</f>
        <v>-797.15</v>
      </c>
      <c r="K156" s="11">
        <f>IF(tblBank[[#This Row],[MatchedEntry]]="",0,ROUND(tblBank[[#This Row],[Amount]]-tblBank[[#This Row],[BookAmount]],2))</f>
        <v>0</v>
      </c>
      <c r="L156" s="10" t="str">
        <f>IF(tblBank[[#This Row],[MatchedEntry]]="","Not in books",IF(tblBank[[#This Row],[Difference]]&lt;&gt;0,"Amount difference","Matched"))</f>
        <v>Matched</v>
      </c>
      <c r="M15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6" s="10" t="str">
        <f>IF(tblBank[[#This Row],[Status]]="Matched","",COUNTIF(INDEX(tblBank[Status],1):tblBank[[#This Row],[Status]],"&lt;&gt;Matched"))</f>
        <v/>
      </c>
    </row>
    <row r="157" spans="1:15" x14ac:dyDescent="0.25">
      <c r="A157" s="10" t="s">
        <v>1052</v>
      </c>
      <c r="B157" s="6">
        <v>46013</v>
      </c>
      <c r="C157" s="10" t="s">
        <v>1053</v>
      </c>
      <c r="D157" s="10" t="s">
        <v>562</v>
      </c>
      <c r="E157" s="11">
        <v>1773.13</v>
      </c>
      <c r="F157" s="10" t="str">
        <f>IF(tblBank[[#This Row],[Reference]]="","",IFERROR(INDEX(tblLedger[Entry],MATCH(tblBank[[#This Row],[Reference]],tblLedger[Reference],0)),""))</f>
        <v>BNK25-01966</v>
      </c>
      <c r="G15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7" s="10" t="str">
        <f>IF(tblBank[[#This Row],[RefEntry]]&lt;&gt;"",tblBank[[#This Row],[RefEntry]],tblBank[[#This Row],[AmountEntry]])</f>
        <v>BNK25-01966</v>
      </c>
      <c r="I157" s="10" t="str">
        <f>IF(tblBank[[#This Row],[RefEntry]]&lt;&gt;"","Reference",IF(tblBank[[#This Row],[AmountEntry]]&lt;&gt;"","Amount and date","None"))</f>
        <v>Reference</v>
      </c>
      <c r="J157" s="11">
        <f>IF(tblBank[[#This Row],[MatchedEntry]]="","",INDEX(tblLedger[Amount],MATCH(tblBank[[#This Row],[MatchedEntry]],tblLedger[Entry],0)))</f>
        <v>1773.13</v>
      </c>
      <c r="K157" s="11">
        <f>IF(tblBank[[#This Row],[MatchedEntry]]="",0,ROUND(tblBank[[#This Row],[Amount]]-tblBank[[#This Row],[BookAmount]],2))</f>
        <v>0</v>
      </c>
      <c r="L157" s="10" t="str">
        <f>IF(tblBank[[#This Row],[MatchedEntry]]="","Not in books",IF(tblBank[[#This Row],[Difference]]&lt;&gt;0,"Amount difference","Matched"))</f>
        <v>Matched</v>
      </c>
      <c r="M15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7" s="10" t="str">
        <f>IF(tblBank[[#This Row],[Status]]="Matched","",COUNTIF(INDEX(tblBank[Status],1):tblBank[[#This Row],[Status]],"&lt;&gt;Matched"))</f>
        <v/>
      </c>
    </row>
    <row r="158" spans="1:15" x14ac:dyDescent="0.25">
      <c r="A158" s="10" t="s">
        <v>1054</v>
      </c>
      <c r="B158" s="6">
        <v>46013</v>
      </c>
      <c r="C158" s="10" t="s">
        <v>1055</v>
      </c>
      <c r="D158" s="10" t="s">
        <v>541</v>
      </c>
      <c r="E158" s="11">
        <v>14404.37</v>
      </c>
      <c r="F158" s="10" t="str">
        <f>IF(tblBank[[#This Row],[Reference]]="","",IFERROR(INDEX(tblLedger[Entry],MATCH(tblBank[[#This Row],[Reference]],tblLedger[Reference],0)),""))</f>
        <v>BNK25-01959</v>
      </c>
      <c r="G15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8" s="10" t="str">
        <f>IF(tblBank[[#This Row],[RefEntry]]&lt;&gt;"",tblBank[[#This Row],[RefEntry]],tblBank[[#This Row],[AmountEntry]])</f>
        <v>BNK25-01959</v>
      </c>
      <c r="I158" s="10" t="str">
        <f>IF(tblBank[[#This Row],[RefEntry]]&lt;&gt;"","Reference",IF(tblBank[[#This Row],[AmountEntry]]&lt;&gt;"","Amount and date","None"))</f>
        <v>Reference</v>
      </c>
      <c r="J158" s="11">
        <f>IF(tblBank[[#This Row],[MatchedEntry]]="","",INDEX(tblLedger[Amount],MATCH(tblBank[[#This Row],[MatchedEntry]],tblLedger[Entry],0)))</f>
        <v>14404.37</v>
      </c>
      <c r="K158" s="11">
        <f>IF(tblBank[[#This Row],[MatchedEntry]]="",0,ROUND(tblBank[[#This Row],[Amount]]-tblBank[[#This Row],[BookAmount]],2))</f>
        <v>0</v>
      </c>
      <c r="L158" s="10" t="str">
        <f>IF(tblBank[[#This Row],[MatchedEntry]]="","Not in books",IF(tblBank[[#This Row],[Difference]]&lt;&gt;0,"Amount difference","Matched"))</f>
        <v>Matched</v>
      </c>
      <c r="M15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8" s="10" t="str">
        <f>IF(tblBank[[#This Row],[Status]]="Matched","",COUNTIF(INDEX(tblBank[Status],1):tblBank[[#This Row],[Status]],"&lt;&gt;Matched"))</f>
        <v/>
      </c>
    </row>
    <row r="159" spans="1:15" x14ac:dyDescent="0.25">
      <c r="A159" s="10" t="s">
        <v>1056</v>
      </c>
      <c r="B159" s="6">
        <v>46013</v>
      </c>
      <c r="C159" s="10" t="s">
        <v>1057</v>
      </c>
      <c r="D159" s="10" t="s">
        <v>502</v>
      </c>
      <c r="E159" s="11">
        <v>77.040000000000006</v>
      </c>
      <c r="F159" s="10" t="str">
        <f>IF(tblBank[[#This Row],[Reference]]="","",IFERROR(INDEX(tblLedger[Entry],MATCH(tblBank[[#This Row],[Reference]],tblLedger[Reference],0)),""))</f>
        <v>BNK25-01946</v>
      </c>
      <c r="G15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59" s="10" t="str">
        <f>IF(tblBank[[#This Row],[RefEntry]]&lt;&gt;"",tblBank[[#This Row],[RefEntry]],tblBank[[#This Row],[AmountEntry]])</f>
        <v>BNK25-01946</v>
      </c>
      <c r="I159" s="10" t="str">
        <f>IF(tblBank[[#This Row],[RefEntry]]&lt;&gt;"","Reference",IF(tblBank[[#This Row],[AmountEntry]]&lt;&gt;"","Amount and date","None"))</f>
        <v>Reference</v>
      </c>
      <c r="J159" s="11">
        <f>IF(tblBank[[#This Row],[MatchedEntry]]="","",INDEX(tblLedger[Amount],MATCH(tblBank[[#This Row],[MatchedEntry]],tblLedger[Entry],0)))</f>
        <v>77.040000000000006</v>
      </c>
      <c r="K159" s="11">
        <f>IF(tblBank[[#This Row],[MatchedEntry]]="",0,ROUND(tblBank[[#This Row],[Amount]]-tblBank[[#This Row],[BookAmount]],2))</f>
        <v>0</v>
      </c>
      <c r="L159" s="10" t="str">
        <f>IF(tblBank[[#This Row],[MatchedEntry]]="","Not in books",IF(tblBank[[#This Row],[Difference]]&lt;&gt;0,"Amount difference","Matched"))</f>
        <v>Matched</v>
      </c>
      <c r="M15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5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59" s="10" t="str">
        <f>IF(tblBank[[#This Row],[Status]]="Matched","",COUNTIF(INDEX(tblBank[Status],1):tblBank[[#This Row],[Status]],"&lt;&gt;Matched"))</f>
        <v/>
      </c>
    </row>
    <row r="160" spans="1:15" x14ac:dyDescent="0.25">
      <c r="A160" s="10" t="s">
        <v>1058</v>
      </c>
      <c r="B160" s="6">
        <v>46013</v>
      </c>
      <c r="C160" s="10" t="s">
        <v>1059</v>
      </c>
      <c r="D160" s="10" t="s">
        <v>532</v>
      </c>
      <c r="E160" s="11">
        <v>13353.96</v>
      </c>
      <c r="F160" s="10" t="str">
        <f>IF(tblBank[[#This Row],[Reference]]="","",IFERROR(INDEX(tblLedger[Entry],MATCH(tblBank[[#This Row],[Reference]],tblLedger[Reference],0)),""))</f>
        <v>BNK25-01956</v>
      </c>
      <c r="G16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0" s="10" t="str">
        <f>IF(tblBank[[#This Row],[RefEntry]]&lt;&gt;"",tblBank[[#This Row],[RefEntry]],tblBank[[#This Row],[AmountEntry]])</f>
        <v>BNK25-01956</v>
      </c>
      <c r="I160" s="10" t="str">
        <f>IF(tblBank[[#This Row],[RefEntry]]&lt;&gt;"","Reference",IF(tblBank[[#This Row],[AmountEntry]]&lt;&gt;"","Amount and date","None"))</f>
        <v>Reference</v>
      </c>
      <c r="J160" s="11">
        <f>IF(tblBank[[#This Row],[MatchedEntry]]="","",INDEX(tblLedger[Amount],MATCH(tblBank[[#This Row],[MatchedEntry]],tblLedger[Entry],0)))</f>
        <v>13353.96</v>
      </c>
      <c r="K160" s="11">
        <f>IF(tblBank[[#This Row],[MatchedEntry]]="",0,ROUND(tblBank[[#This Row],[Amount]]-tblBank[[#This Row],[BookAmount]],2))</f>
        <v>0</v>
      </c>
      <c r="L160" s="10" t="str">
        <f>IF(tblBank[[#This Row],[MatchedEntry]]="","Not in books",IF(tblBank[[#This Row],[Difference]]&lt;&gt;0,"Amount difference","Matched"))</f>
        <v>Matched</v>
      </c>
      <c r="M16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0" s="10" t="str">
        <f>IF(tblBank[[#This Row],[Status]]="Matched","",COUNTIF(INDEX(tblBank[Status],1):tblBank[[#This Row],[Status]],"&lt;&gt;Matched"))</f>
        <v/>
      </c>
    </row>
    <row r="161" spans="1:15" x14ac:dyDescent="0.25">
      <c r="A161" s="10" t="s">
        <v>1060</v>
      </c>
      <c r="B161" s="6">
        <v>46013</v>
      </c>
      <c r="C161" s="10" t="s">
        <v>1061</v>
      </c>
      <c r="D161" s="10" t="s">
        <v>514</v>
      </c>
      <c r="E161" s="11">
        <v>1964.82</v>
      </c>
      <c r="F161" s="10" t="str">
        <f>IF(tblBank[[#This Row],[Reference]]="","",IFERROR(INDEX(tblLedger[Entry],MATCH(tblBank[[#This Row],[Reference]],tblLedger[Reference],0)),""))</f>
        <v>BNK25-01950</v>
      </c>
      <c r="G16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1" s="10" t="str">
        <f>IF(tblBank[[#This Row],[RefEntry]]&lt;&gt;"",tblBank[[#This Row],[RefEntry]],tblBank[[#This Row],[AmountEntry]])</f>
        <v>BNK25-01950</v>
      </c>
      <c r="I161" s="10" t="str">
        <f>IF(tblBank[[#This Row],[RefEntry]]&lt;&gt;"","Reference",IF(tblBank[[#This Row],[AmountEntry]]&lt;&gt;"","Amount and date","None"))</f>
        <v>Reference</v>
      </c>
      <c r="J161" s="11">
        <f>IF(tblBank[[#This Row],[MatchedEntry]]="","",INDEX(tblLedger[Amount],MATCH(tblBank[[#This Row],[MatchedEntry]],tblLedger[Entry],0)))</f>
        <v>1964.82</v>
      </c>
      <c r="K161" s="11">
        <f>IF(tblBank[[#This Row],[MatchedEntry]]="",0,ROUND(tblBank[[#This Row],[Amount]]-tblBank[[#This Row],[BookAmount]],2))</f>
        <v>0</v>
      </c>
      <c r="L161" s="10" t="str">
        <f>IF(tblBank[[#This Row],[MatchedEntry]]="","Not in books",IF(tblBank[[#This Row],[Difference]]&lt;&gt;0,"Amount difference","Matched"))</f>
        <v>Matched</v>
      </c>
      <c r="M16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1" s="10" t="str">
        <f>IF(tblBank[[#This Row],[Status]]="Matched","",COUNTIF(INDEX(tblBank[Status],1):tblBank[[#This Row],[Status]],"&lt;&gt;Matched"))</f>
        <v/>
      </c>
    </row>
    <row r="162" spans="1:15" x14ac:dyDescent="0.25">
      <c r="A162" s="10" t="s">
        <v>1062</v>
      </c>
      <c r="B162" s="6">
        <v>46013</v>
      </c>
      <c r="C162" s="10" t="s">
        <v>1063</v>
      </c>
      <c r="D162" s="10" t="s">
        <v>544</v>
      </c>
      <c r="E162" s="11">
        <v>4941.66</v>
      </c>
      <c r="F162" s="10" t="str">
        <f>IF(tblBank[[#This Row],[Reference]]="","",IFERROR(INDEX(tblLedger[Entry],MATCH(tblBank[[#This Row],[Reference]],tblLedger[Reference],0)),""))</f>
        <v>BNK25-01960</v>
      </c>
      <c r="G16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2" s="10" t="str">
        <f>IF(tblBank[[#This Row],[RefEntry]]&lt;&gt;"",tblBank[[#This Row],[RefEntry]],tblBank[[#This Row],[AmountEntry]])</f>
        <v>BNK25-01960</v>
      </c>
      <c r="I162" s="10" t="str">
        <f>IF(tblBank[[#This Row],[RefEntry]]&lt;&gt;"","Reference",IF(tblBank[[#This Row],[AmountEntry]]&lt;&gt;"","Amount and date","None"))</f>
        <v>Reference</v>
      </c>
      <c r="J162" s="11">
        <f>IF(tblBank[[#This Row],[MatchedEntry]]="","",INDEX(tblLedger[Amount],MATCH(tblBank[[#This Row],[MatchedEntry]],tblLedger[Entry],0)))</f>
        <v>4941.66</v>
      </c>
      <c r="K162" s="11">
        <f>IF(tblBank[[#This Row],[MatchedEntry]]="",0,ROUND(tblBank[[#This Row],[Amount]]-tblBank[[#This Row],[BookAmount]],2))</f>
        <v>0</v>
      </c>
      <c r="L162" s="10" t="str">
        <f>IF(tblBank[[#This Row],[MatchedEntry]]="","Not in books",IF(tblBank[[#This Row],[Difference]]&lt;&gt;0,"Amount difference","Matched"))</f>
        <v>Matched</v>
      </c>
      <c r="M16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2" s="10" t="str">
        <f>IF(tblBank[[#This Row],[Status]]="Matched","",COUNTIF(INDEX(tblBank[Status],1):tblBank[[#This Row],[Status]],"&lt;&gt;Matched"))</f>
        <v/>
      </c>
    </row>
    <row r="163" spans="1:15" x14ac:dyDescent="0.25">
      <c r="A163" s="10" t="s">
        <v>1064</v>
      </c>
      <c r="B163" s="6">
        <v>46013</v>
      </c>
      <c r="C163" s="10" t="s">
        <v>1065</v>
      </c>
      <c r="D163" s="10" t="s">
        <v>538</v>
      </c>
      <c r="E163" s="11">
        <v>5212.6099999999997</v>
      </c>
      <c r="F163" s="10" t="str">
        <f>IF(tblBank[[#This Row],[Reference]]="","",IFERROR(INDEX(tblLedger[Entry],MATCH(tblBank[[#This Row],[Reference]],tblLedger[Reference],0)),""))</f>
        <v>BNK25-01958</v>
      </c>
      <c r="G16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3" s="10" t="str">
        <f>IF(tblBank[[#This Row],[RefEntry]]&lt;&gt;"",tblBank[[#This Row],[RefEntry]],tblBank[[#This Row],[AmountEntry]])</f>
        <v>BNK25-01958</v>
      </c>
      <c r="I163" s="10" t="str">
        <f>IF(tblBank[[#This Row],[RefEntry]]&lt;&gt;"","Reference",IF(tblBank[[#This Row],[AmountEntry]]&lt;&gt;"","Amount and date","None"))</f>
        <v>Reference</v>
      </c>
      <c r="J163" s="11">
        <f>IF(tblBank[[#This Row],[MatchedEntry]]="","",INDEX(tblLedger[Amount],MATCH(tblBank[[#This Row],[MatchedEntry]],tblLedger[Entry],0)))</f>
        <v>5212.6099999999997</v>
      </c>
      <c r="K163" s="11">
        <f>IF(tblBank[[#This Row],[MatchedEntry]]="",0,ROUND(tblBank[[#This Row],[Amount]]-tblBank[[#This Row],[BookAmount]],2))</f>
        <v>0</v>
      </c>
      <c r="L163" s="10" t="str">
        <f>IF(tblBank[[#This Row],[MatchedEntry]]="","Not in books",IF(tblBank[[#This Row],[Difference]]&lt;&gt;0,"Amount difference","Matched"))</f>
        <v>Matched</v>
      </c>
      <c r="M16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3" s="10" t="str">
        <f>IF(tblBank[[#This Row],[Status]]="Matched","",COUNTIF(INDEX(tblBank[Status],1):tblBank[[#This Row],[Status]],"&lt;&gt;Matched"))</f>
        <v/>
      </c>
    </row>
    <row r="164" spans="1:15" x14ac:dyDescent="0.25">
      <c r="A164" s="10" t="s">
        <v>1066</v>
      </c>
      <c r="B164" s="6">
        <v>46013</v>
      </c>
      <c r="C164" s="10" t="s">
        <v>1067</v>
      </c>
      <c r="D164" s="10" t="s">
        <v>547</v>
      </c>
      <c r="E164" s="11">
        <v>168.68</v>
      </c>
      <c r="F164" s="10" t="str">
        <f>IF(tblBank[[#This Row],[Reference]]="","",IFERROR(INDEX(tblLedger[Entry],MATCH(tblBank[[#This Row],[Reference]],tblLedger[Reference],0)),""))</f>
        <v>BNK25-01961</v>
      </c>
      <c r="G16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4" s="10" t="str">
        <f>IF(tblBank[[#This Row],[RefEntry]]&lt;&gt;"",tblBank[[#This Row],[RefEntry]],tblBank[[#This Row],[AmountEntry]])</f>
        <v>BNK25-01961</v>
      </c>
      <c r="I164" s="10" t="str">
        <f>IF(tblBank[[#This Row],[RefEntry]]&lt;&gt;"","Reference",IF(tblBank[[#This Row],[AmountEntry]]&lt;&gt;"","Amount and date","None"))</f>
        <v>Reference</v>
      </c>
      <c r="J164" s="11">
        <f>IF(tblBank[[#This Row],[MatchedEntry]]="","",INDEX(tblLedger[Amount],MATCH(tblBank[[#This Row],[MatchedEntry]],tblLedger[Entry],0)))</f>
        <v>168.68</v>
      </c>
      <c r="K164" s="11">
        <f>IF(tblBank[[#This Row],[MatchedEntry]]="",0,ROUND(tblBank[[#This Row],[Amount]]-tblBank[[#This Row],[BookAmount]],2))</f>
        <v>0</v>
      </c>
      <c r="L164" s="10" t="str">
        <f>IF(tblBank[[#This Row],[MatchedEntry]]="","Not in books",IF(tblBank[[#This Row],[Difference]]&lt;&gt;0,"Amount difference","Matched"))</f>
        <v>Matched</v>
      </c>
      <c r="M16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4" s="10" t="str">
        <f>IF(tblBank[[#This Row],[Status]]="Matched","",COUNTIF(INDEX(tblBank[Status],1):tblBank[[#This Row],[Status]],"&lt;&gt;Matched"))</f>
        <v/>
      </c>
    </row>
    <row r="165" spans="1:15" x14ac:dyDescent="0.25">
      <c r="A165" s="10" t="s">
        <v>1068</v>
      </c>
      <c r="B165" s="6">
        <v>46013</v>
      </c>
      <c r="C165" s="10" t="s">
        <v>1069</v>
      </c>
      <c r="D165" s="10" t="s">
        <v>550</v>
      </c>
      <c r="E165" s="11">
        <v>1942.02</v>
      </c>
      <c r="F165" s="10" t="str">
        <f>IF(tblBank[[#This Row],[Reference]]="","",IFERROR(INDEX(tblLedger[Entry],MATCH(tblBank[[#This Row],[Reference]],tblLedger[Reference],0)),""))</f>
        <v>BNK25-01962</v>
      </c>
      <c r="G16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5" s="10" t="str">
        <f>IF(tblBank[[#This Row],[RefEntry]]&lt;&gt;"",tblBank[[#This Row],[RefEntry]],tblBank[[#This Row],[AmountEntry]])</f>
        <v>BNK25-01962</v>
      </c>
      <c r="I165" s="10" t="str">
        <f>IF(tblBank[[#This Row],[RefEntry]]&lt;&gt;"","Reference",IF(tblBank[[#This Row],[AmountEntry]]&lt;&gt;"","Amount and date","None"))</f>
        <v>Reference</v>
      </c>
      <c r="J165" s="11">
        <f>IF(tblBank[[#This Row],[MatchedEntry]]="","",INDEX(tblLedger[Amount],MATCH(tblBank[[#This Row],[MatchedEntry]],tblLedger[Entry],0)))</f>
        <v>1942.02</v>
      </c>
      <c r="K165" s="11">
        <f>IF(tblBank[[#This Row],[MatchedEntry]]="",0,ROUND(tblBank[[#This Row],[Amount]]-tblBank[[#This Row],[BookAmount]],2))</f>
        <v>0</v>
      </c>
      <c r="L165" s="10" t="str">
        <f>IF(tblBank[[#This Row],[MatchedEntry]]="","Not in books",IF(tblBank[[#This Row],[Difference]]&lt;&gt;0,"Amount difference","Matched"))</f>
        <v>Matched</v>
      </c>
      <c r="M16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5" s="10" t="str">
        <f>IF(tblBank[[#This Row],[Status]]="Matched","",COUNTIF(INDEX(tblBank[Status],1):tblBank[[#This Row],[Status]],"&lt;&gt;Matched"))</f>
        <v/>
      </c>
    </row>
    <row r="166" spans="1:15" x14ac:dyDescent="0.25">
      <c r="A166" s="10" t="s">
        <v>1070</v>
      </c>
      <c r="B166" s="6">
        <v>46013</v>
      </c>
      <c r="C166" s="10" t="s">
        <v>1071</v>
      </c>
      <c r="D166" s="10" t="s">
        <v>529</v>
      </c>
      <c r="E166" s="11">
        <v>7828.73</v>
      </c>
      <c r="F166" s="10" t="str">
        <f>IF(tblBank[[#This Row],[Reference]]="","",IFERROR(INDEX(tblLedger[Entry],MATCH(tblBank[[#This Row],[Reference]],tblLedger[Reference],0)),""))</f>
        <v>BNK25-01955</v>
      </c>
      <c r="G16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6" s="10" t="str">
        <f>IF(tblBank[[#This Row],[RefEntry]]&lt;&gt;"",tblBank[[#This Row],[RefEntry]],tblBank[[#This Row],[AmountEntry]])</f>
        <v>BNK25-01955</v>
      </c>
      <c r="I166" s="10" t="str">
        <f>IF(tblBank[[#This Row],[RefEntry]]&lt;&gt;"","Reference",IF(tblBank[[#This Row],[AmountEntry]]&lt;&gt;"","Amount and date","None"))</f>
        <v>Reference</v>
      </c>
      <c r="J166" s="11">
        <f>IF(tblBank[[#This Row],[MatchedEntry]]="","",INDEX(tblLedger[Amount],MATCH(tblBank[[#This Row],[MatchedEntry]],tblLedger[Entry],0)))</f>
        <v>7828.73</v>
      </c>
      <c r="K166" s="11">
        <f>IF(tblBank[[#This Row],[MatchedEntry]]="",0,ROUND(tblBank[[#This Row],[Amount]]-tblBank[[#This Row],[BookAmount]],2))</f>
        <v>0</v>
      </c>
      <c r="L166" s="10" t="str">
        <f>IF(tblBank[[#This Row],[MatchedEntry]]="","Not in books",IF(tblBank[[#This Row],[Difference]]&lt;&gt;0,"Amount difference","Matched"))</f>
        <v>Matched</v>
      </c>
      <c r="M16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6" s="10" t="str">
        <f>IF(tblBank[[#This Row],[Status]]="Matched","",COUNTIF(INDEX(tblBank[Status],1):tblBank[[#This Row],[Status]],"&lt;&gt;Matched"))</f>
        <v/>
      </c>
    </row>
    <row r="167" spans="1:15" x14ac:dyDescent="0.25">
      <c r="A167" s="10" t="s">
        <v>1072</v>
      </c>
      <c r="B167" s="6">
        <v>46013</v>
      </c>
      <c r="C167" s="10" t="s">
        <v>1073</v>
      </c>
      <c r="D167" s="10" t="s">
        <v>535</v>
      </c>
      <c r="E167" s="11">
        <v>519.08000000000004</v>
      </c>
      <c r="F167" s="10" t="str">
        <f>IF(tblBank[[#This Row],[Reference]]="","",IFERROR(INDEX(tblLedger[Entry],MATCH(tblBank[[#This Row],[Reference]],tblLedger[Reference],0)),""))</f>
        <v>BNK25-01957</v>
      </c>
      <c r="G16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7" s="10" t="str">
        <f>IF(tblBank[[#This Row],[RefEntry]]&lt;&gt;"",tblBank[[#This Row],[RefEntry]],tblBank[[#This Row],[AmountEntry]])</f>
        <v>BNK25-01957</v>
      </c>
      <c r="I167" s="10" t="str">
        <f>IF(tblBank[[#This Row],[RefEntry]]&lt;&gt;"","Reference",IF(tblBank[[#This Row],[AmountEntry]]&lt;&gt;"","Amount and date","None"))</f>
        <v>Reference</v>
      </c>
      <c r="J167" s="11">
        <f>IF(tblBank[[#This Row],[MatchedEntry]]="","",INDEX(tblLedger[Amount],MATCH(tblBank[[#This Row],[MatchedEntry]],tblLedger[Entry],0)))</f>
        <v>519.08000000000004</v>
      </c>
      <c r="K167" s="11">
        <f>IF(tblBank[[#This Row],[MatchedEntry]]="",0,ROUND(tblBank[[#This Row],[Amount]]-tblBank[[#This Row],[BookAmount]],2))</f>
        <v>0</v>
      </c>
      <c r="L167" s="10" t="str">
        <f>IF(tblBank[[#This Row],[MatchedEntry]]="","Not in books",IF(tblBank[[#This Row],[Difference]]&lt;&gt;0,"Amount difference","Matched"))</f>
        <v>Matched</v>
      </c>
      <c r="M16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7" s="10" t="str">
        <f>IF(tblBank[[#This Row],[Status]]="Matched","",COUNTIF(INDEX(tblBank[Status],1):tblBank[[#This Row],[Status]],"&lt;&gt;Matched"))</f>
        <v/>
      </c>
    </row>
    <row r="168" spans="1:15" x14ac:dyDescent="0.25">
      <c r="A168" s="10" t="s">
        <v>1074</v>
      </c>
      <c r="B168" s="6">
        <v>46013</v>
      </c>
      <c r="C168" s="10" t="s">
        <v>1075</v>
      </c>
      <c r="D168" s="10" t="s">
        <v>553</v>
      </c>
      <c r="E168" s="11">
        <v>628.46</v>
      </c>
      <c r="F168" s="10" t="str">
        <f>IF(tblBank[[#This Row],[Reference]]="","",IFERROR(INDEX(tblLedger[Entry],MATCH(tblBank[[#This Row],[Reference]],tblLedger[Reference],0)),""))</f>
        <v>BNK25-01963</v>
      </c>
      <c r="G16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8" s="10" t="str">
        <f>IF(tblBank[[#This Row],[RefEntry]]&lt;&gt;"",tblBank[[#This Row],[RefEntry]],tblBank[[#This Row],[AmountEntry]])</f>
        <v>BNK25-01963</v>
      </c>
      <c r="I168" s="10" t="str">
        <f>IF(tblBank[[#This Row],[RefEntry]]&lt;&gt;"","Reference",IF(tblBank[[#This Row],[AmountEntry]]&lt;&gt;"","Amount and date","None"))</f>
        <v>Reference</v>
      </c>
      <c r="J168" s="11">
        <f>IF(tblBank[[#This Row],[MatchedEntry]]="","",INDEX(tblLedger[Amount],MATCH(tblBank[[#This Row],[MatchedEntry]],tblLedger[Entry],0)))</f>
        <v>628.46</v>
      </c>
      <c r="K168" s="11">
        <f>IF(tblBank[[#This Row],[MatchedEntry]]="",0,ROUND(tblBank[[#This Row],[Amount]]-tblBank[[#This Row],[BookAmount]],2))</f>
        <v>0</v>
      </c>
      <c r="L168" s="10" t="str">
        <f>IF(tblBank[[#This Row],[MatchedEntry]]="","Not in books",IF(tblBank[[#This Row],[Difference]]&lt;&gt;0,"Amount difference","Matched"))</f>
        <v>Matched</v>
      </c>
      <c r="M16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8" s="10" t="str">
        <f>IF(tblBank[[#This Row],[Status]]="Matched","",COUNTIF(INDEX(tblBank[Status],1):tblBank[[#This Row],[Status]],"&lt;&gt;Matched"))</f>
        <v/>
      </c>
    </row>
    <row r="169" spans="1:15" x14ac:dyDescent="0.25">
      <c r="A169" s="10" t="s">
        <v>1076</v>
      </c>
      <c r="B169" s="6">
        <v>46013</v>
      </c>
      <c r="C169" s="10" t="s">
        <v>1077</v>
      </c>
      <c r="D169" s="10" t="s">
        <v>523</v>
      </c>
      <c r="E169" s="11">
        <v>1100.48</v>
      </c>
      <c r="F169" s="10" t="str">
        <f>IF(tblBank[[#This Row],[Reference]]="","",IFERROR(INDEX(tblLedger[Entry],MATCH(tblBank[[#This Row],[Reference]],tblLedger[Reference],0)),""))</f>
        <v>BNK25-01953</v>
      </c>
      <c r="G16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69" s="10" t="str">
        <f>IF(tblBank[[#This Row],[RefEntry]]&lt;&gt;"",tblBank[[#This Row],[RefEntry]],tblBank[[#This Row],[AmountEntry]])</f>
        <v>BNK25-01953</v>
      </c>
      <c r="I169" s="10" t="str">
        <f>IF(tblBank[[#This Row],[RefEntry]]&lt;&gt;"","Reference",IF(tblBank[[#This Row],[AmountEntry]]&lt;&gt;"","Amount and date","None"))</f>
        <v>Reference</v>
      </c>
      <c r="J169" s="11">
        <f>IF(tblBank[[#This Row],[MatchedEntry]]="","",INDEX(tblLedger[Amount],MATCH(tblBank[[#This Row],[MatchedEntry]],tblLedger[Entry],0)))</f>
        <v>1100.48</v>
      </c>
      <c r="K169" s="11">
        <f>IF(tblBank[[#This Row],[MatchedEntry]]="",0,ROUND(tblBank[[#This Row],[Amount]]-tblBank[[#This Row],[BookAmount]],2))</f>
        <v>0</v>
      </c>
      <c r="L169" s="10" t="str">
        <f>IF(tblBank[[#This Row],[MatchedEntry]]="","Not in books",IF(tblBank[[#This Row],[Difference]]&lt;&gt;0,"Amount difference","Matched"))</f>
        <v>Matched</v>
      </c>
      <c r="M16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6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69" s="10" t="str">
        <f>IF(tblBank[[#This Row],[Status]]="Matched","",COUNTIF(INDEX(tblBank[Status],1):tblBank[[#This Row],[Status]],"&lt;&gt;Matched"))</f>
        <v/>
      </c>
    </row>
    <row r="170" spans="1:15" x14ac:dyDescent="0.25">
      <c r="A170" s="10" t="s">
        <v>1078</v>
      </c>
      <c r="B170" s="6">
        <v>46013</v>
      </c>
      <c r="C170" s="10" t="s">
        <v>1079</v>
      </c>
      <c r="D170" s="10" t="s">
        <v>511</v>
      </c>
      <c r="E170" s="11">
        <v>751.92</v>
      </c>
      <c r="F170" s="10" t="str">
        <f>IF(tblBank[[#This Row],[Reference]]="","",IFERROR(INDEX(tblLedger[Entry],MATCH(tblBank[[#This Row],[Reference]],tblLedger[Reference],0)),""))</f>
        <v>BNK25-01949</v>
      </c>
      <c r="G17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0" s="10" t="str">
        <f>IF(tblBank[[#This Row],[RefEntry]]&lt;&gt;"",tblBank[[#This Row],[RefEntry]],tblBank[[#This Row],[AmountEntry]])</f>
        <v>BNK25-01949</v>
      </c>
      <c r="I170" s="10" t="str">
        <f>IF(tblBank[[#This Row],[RefEntry]]&lt;&gt;"","Reference",IF(tblBank[[#This Row],[AmountEntry]]&lt;&gt;"","Amount and date","None"))</f>
        <v>Reference</v>
      </c>
      <c r="J170" s="11">
        <f>IF(tblBank[[#This Row],[MatchedEntry]]="","",INDEX(tblLedger[Amount],MATCH(tblBank[[#This Row],[MatchedEntry]],tblLedger[Entry],0)))</f>
        <v>751.92</v>
      </c>
      <c r="K170" s="11">
        <f>IF(tblBank[[#This Row],[MatchedEntry]]="",0,ROUND(tblBank[[#This Row],[Amount]]-tblBank[[#This Row],[BookAmount]],2))</f>
        <v>0</v>
      </c>
      <c r="L170" s="10" t="str">
        <f>IF(tblBank[[#This Row],[MatchedEntry]]="","Not in books",IF(tblBank[[#This Row],[Difference]]&lt;&gt;0,"Amount difference","Matched"))</f>
        <v>Matched</v>
      </c>
      <c r="M17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0" s="10" t="str">
        <f>IF(tblBank[[#This Row],[Status]]="Matched","",COUNTIF(INDEX(tblBank[Status],1):tblBank[[#This Row],[Status]],"&lt;&gt;Matched"))</f>
        <v/>
      </c>
    </row>
    <row r="171" spans="1:15" x14ac:dyDescent="0.25">
      <c r="A171" s="10" t="s">
        <v>1080</v>
      </c>
      <c r="B171" s="6">
        <v>46013</v>
      </c>
      <c r="C171" s="10" t="s">
        <v>1081</v>
      </c>
      <c r="D171" s="10" t="s">
        <v>505</v>
      </c>
      <c r="E171" s="11">
        <v>2190.6799999999998</v>
      </c>
      <c r="F171" s="10" t="str">
        <f>IF(tblBank[[#This Row],[Reference]]="","",IFERROR(INDEX(tblLedger[Entry],MATCH(tblBank[[#This Row],[Reference]],tblLedger[Reference],0)),""))</f>
        <v>BNK25-01947</v>
      </c>
      <c r="G17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1" s="10" t="str">
        <f>IF(tblBank[[#This Row],[RefEntry]]&lt;&gt;"",tblBank[[#This Row],[RefEntry]],tblBank[[#This Row],[AmountEntry]])</f>
        <v>BNK25-01947</v>
      </c>
      <c r="I171" s="10" t="str">
        <f>IF(tblBank[[#This Row],[RefEntry]]&lt;&gt;"","Reference",IF(tblBank[[#This Row],[AmountEntry]]&lt;&gt;"","Amount and date","None"))</f>
        <v>Reference</v>
      </c>
      <c r="J171" s="11">
        <f>IF(tblBank[[#This Row],[MatchedEntry]]="","",INDEX(tblLedger[Amount],MATCH(tblBank[[#This Row],[MatchedEntry]],tblLedger[Entry],0)))</f>
        <v>2190.6799999999998</v>
      </c>
      <c r="K171" s="11">
        <f>IF(tblBank[[#This Row],[MatchedEntry]]="",0,ROUND(tblBank[[#This Row],[Amount]]-tblBank[[#This Row],[BookAmount]],2))</f>
        <v>0</v>
      </c>
      <c r="L171" s="10" t="str">
        <f>IF(tblBank[[#This Row],[MatchedEntry]]="","Not in books",IF(tblBank[[#This Row],[Difference]]&lt;&gt;0,"Amount difference","Matched"))</f>
        <v>Matched</v>
      </c>
      <c r="M17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1" s="10" t="str">
        <f>IF(tblBank[[#This Row],[Status]]="Matched","",COUNTIF(INDEX(tblBank[Status],1):tblBank[[#This Row],[Status]],"&lt;&gt;Matched"))</f>
        <v/>
      </c>
    </row>
    <row r="172" spans="1:15" x14ac:dyDescent="0.25">
      <c r="A172" s="10" t="s">
        <v>1082</v>
      </c>
      <c r="B172" s="6">
        <v>46013</v>
      </c>
      <c r="C172" s="10" t="s">
        <v>1083</v>
      </c>
      <c r="D172" s="10" t="s">
        <v>508</v>
      </c>
      <c r="E172" s="11">
        <v>1266.7</v>
      </c>
      <c r="F172" s="10" t="str">
        <f>IF(tblBank[[#This Row],[Reference]]="","",IFERROR(INDEX(tblLedger[Entry],MATCH(tblBank[[#This Row],[Reference]],tblLedger[Reference],0)),""))</f>
        <v>BNK25-01948</v>
      </c>
      <c r="G17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2" s="10" t="str">
        <f>IF(tblBank[[#This Row],[RefEntry]]&lt;&gt;"",tblBank[[#This Row],[RefEntry]],tblBank[[#This Row],[AmountEntry]])</f>
        <v>BNK25-01948</v>
      </c>
      <c r="I172" s="10" t="str">
        <f>IF(tblBank[[#This Row],[RefEntry]]&lt;&gt;"","Reference",IF(tblBank[[#This Row],[AmountEntry]]&lt;&gt;"","Amount and date","None"))</f>
        <v>Reference</v>
      </c>
      <c r="J172" s="11">
        <f>IF(tblBank[[#This Row],[MatchedEntry]]="","",INDEX(tblLedger[Amount],MATCH(tblBank[[#This Row],[MatchedEntry]],tblLedger[Entry],0)))</f>
        <v>1266.7</v>
      </c>
      <c r="K172" s="11">
        <f>IF(tblBank[[#This Row],[MatchedEntry]]="",0,ROUND(tblBank[[#This Row],[Amount]]-tblBank[[#This Row],[BookAmount]],2))</f>
        <v>0</v>
      </c>
      <c r="L172" s="10" t="str">
        <f>IF(tblBank[[#This Row],[MatchedEntry]]="","Not in books",IF(tblBank[[#This Row],[Difference]]&lt;&gt;0,"Amount difference","Matched"))</f>
        <v>Matched</v>
      </c>
      <c r="M17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2" s="10" t="str">
        <f>IF(tblBank[[#This Row],[Status]]="Matched","",COUNTIF(INDEX(tblBank[Status],1):tblBank[[#This Row],[Status]],"&lt;&gt;Matched"))</f>
        <v/>
      </c>
    </row>
    <row r="173" spans="1:15" x14ac:dyDescent="0.25">
      <c r="A173" s="10" t="s">
        <v>1084</v>
      </c>
      <c r="B173" s="6">
        <v>46013</v>
      </c>
      <c r="C173" s="10" t="s">
        <v>1085</v>
      </c>
      <c r="D173" s="10" t="s">
        <v>517</v>
      </c>
      <c r="E173" s="11">
        <v>1121.32</v>
      </c>
      <c r="F173" s="10" t="str">
        <f>IF(tblBank[[#This Row],[Reference]]="","",IFERROR(INDEX(tblLedger[Entry],MATCH(tblBank[[#This Row],[Reference]],tblLedger[Reference],0)),""))</f>
        <v>BNK25-01951</v>
      </c>
      <c r="G17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3" s="10" t="str">
        <f>IF(tblBank[[#This Row],[RefEntry]]&lt;&gt;"",tblBank[[#This Row],[RefEntry]],tblBank[[#This Row],[AmountEntry]])</f>
        <v>BNK25-01951</v>
      </c>
      <c r="I173" s="10" t="str">
        <f>IF(tblBank[[#This Row],[RefEntry]]&lt;&gt;"","Reference",IF(tblBank[[#This Row],[AmountEntry]]&lt;&gt;"","Amount and date","None"))</f>
        <v>Reference</v>
      </c>
      <c r="J173" s="11">
        <f>IF(tblBank[[#This Row],[MatchedEntry]]="","",INDEX(tblLedger[Amount],MATCH(tblBank[[#This Row],[MatchedEntry]],tblLedger[Entry],0)))</f>
        <v>1121.32</v>
      </c>
      <c r="K173" s="11">
        <f>IF(tblBank[[#This Row],[MatchedEntry]]="",0,ROUND(tblBank[[#This Row],[Amount]]-tblBank[[#This Row],[BookAmount]],2))</f>
        <v>0</v>
      </c>
      <c r="L173" s="10" t="str">
        <f>IF(tblBank[[#This Row],[MatchedEntry]]="","Not in books",IF(tblBank[[#This Row],[Difference]]&lt;&gt;0,"Amount difference","Matched"))</f>
        <v>Matched</v>
      </c>
      <c r="M17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3" s="10" t="str">
        <f>IF(tblBank[[#This Row],[Status]]="Matched","",COUNTIF(INDEX(tblBank[Status],1):tblBank[[#This Row],[Status]],"&lt;&gt;Matched"))</f>
        <v/>
      </c>
    </row>
    <row r="174" spans="1:15" x14ac:dyDescent="0.25">
      <c r="A174" s="10" t="s">
        <v>1086</v>
      </c>
      <c r="B174" s="6">
        <v>46013</v>
      </c>
      <c r="C174" s="10" t="s">
        <v>1087</v>
      </c>
      <c r="D174" s="10" t="s">
        <v>806</v>
      </c>
      <c r="E174" s="11">
        <v>422.63</v>
      </c>
      <c r="F174" s="10" t="str">
        <f>IF(tblBank[[#This Row],[Reference]]="","",IFERROR(INDEX(tblLedger[Entry],MATCH(tblBank[[#This Row],[Reference]],tblLedger[Reference],0)),""))</f>
        <v/>
      </c>
      <c r="G17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BNK25-01954</v>
      </c>
      <c r="H174" s="10" t="str">
        <f>IF(tblBank[[#This Row],[RefEntry]]&lt;&gt;"",tblBank[[#This Row],[RefEntry]],tblBank[[#This Row],[AmountEntry]])</f>
        <v>BNK25-01954</v>
      </c>
      <c r="I174" s="10" t="str">
        <f>IF(tblBank[[#This Row],[RefEntry]]&lt;&gt;"","Reference",IF(tblBank[[#This Row],[AmountEntry]]&lt;&gt;"","Amount and date","None"))</f>
        <v>Amount and date</v>
      </c>
      <c r="J174" s="11">
        <f>IF(tblBank[[#This Row],[MatchedEntry]]="","",INDEX(tblLedger[Amount],MATCH(tblBank[[#This Row],[MatchedEntry]],tblLedger[Entry],0)))</f>
        <v>422.63</v>
      </c>
      <c r="K174" s="11">
        <f>IF(tblBank[[#This Row],[MatchedEntry]]="",0,ROUND(tblBank[[#This Row],[Amount]]-tblBank[[#This Row],[BookAmount]],2))</f>
        <v>0</v>
      </c>
      <c r="L174" s="10" t="str">
        <f>IF(tblBank[[#This Row],[MatchedEntry]]="","Not in books",IF(tblBank[[#This Row],[Difference]]&lt;&gt;0,"Amount difference","Matched"))</f>
        <v>Matched</v>
      </c>
      <c r="M17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4" s="10" t="str">
        <f>IF(tblBank[[#This Row],[Status]]="Matched","",COUNTIF(INDEX(tblBank[Status],1):tblBank[[#This Row],[Status]],"&lt;&gt;Matched"))</f>
        <v/>
      </c>
    </row>
    <row r="175" spans="1:15" x14ac:dyDescent="0.25">
      <c r="A175" s="10" t="s">
        <v>1088</v>
      </c>
      <c r="B175" s="6">
        <v>46014</v>
      </c>
      <c r="C175" s="10" t="s">
        <v>1089</v>
      </c>
      <c r="D175" s="10" t="s">
        <v>469</v>
      </c>
      <c r="E175" s="11">
        <v>-9573.08</v>
      </c>
      <c r="F175" s="10" t="str">
        <f>IF(tblBank[[#This Row],[Reference]]="","",IFERROR(INDEX(tblLedger[Entry],MATCH(tblBank[[#This Row],[Reference]],tblLedger[Reference],0)),""))</f>
        <v>BNK25-01935</v>
      </c>
      <c r="G17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5" s="10" t="str">
        <f>IF(tblBank[[#This Row],[RefEntry]]&lt;&gt;"",tblBank[[#This Row],[RefEntry]],tblBank[[#This Row],[AmountEntry]])</f>
        <v>BNK25-01935</v>
      </c>
      <c r="I175" s="10" t="str">
        <f>IF(tblBank[[#This Row],[RefEntry]]&lt;&gt;"","Reference",IF(tblBank[[#This Row],[AmountEntry]]&lt;&gt;"","Amount and date","None"))</f>
        <v>Reference</v>
      </c>
      <c r="J175" s="11">
        <f>IF(tblBank[[#This Row],[MatchedEntry]]="","",INDEX(tblLedger[Amount],MATCH(tblBank[[#This Row],[MatchedEntry]],tblLedger[Entry],0)))</f>
        <v>-9573.08</v>
      </c>
      <c r="K175" s="11">
        <f>IF(tblBank[[#This Row],[MatchedEntry]]="",0,ROUND(tblBank[[#This Row],[Amount]]-tblBank[[#This Row],[BookAmount]],2))</f>
        <v>0</v>
      </c>
      <c r="L175" s="10" t="str">
        <f>IF(tblBank[[#This Row],[MatchedEntry]]="","Not in books",IF(tblBank[[#This Row],[Difference]]&lt;&gt;0,"Amount difference","Matched"))</f>
        <v>Matched</v>
      </c>
      <c r="M17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5" s="10" t="str">
        <f>IF(tblBank[[#This Row],[Status]]="Matched","",COUNTIF(INDEX(tblBank[Status],1):tblBank[[#This Row],[Status]],"&lt;&gt;Matched"))</f>
        <v/>
      </c>
    </row>
    <row r="176" spans="1:15" x14ac:dyDescent="0.25">
      <c r="A176" s="10" t="s">
        <v>1090</v>
      </c>
      <c r="B176" s="6">
        <v>46014</v>
      </c>
      <c r="C176" s="10" t="s">
        <v>1091</v>
      </c>
      <c r="D176" s="10" t="s">
        <v>556</v>
      </c>
      <c r="E176" s="11">
        <v>-2532.06</v>
      </c>
      <c r="F176" s="10" t="str">
        <f>IF(tblBank[[#This Row],[Reference]]="","",IFERROR(INDEX(tblLedger[Entry],MATCH(tblBank[[#This Row],[Reference]],tblLedger[Reference],0)),""))</f>
        <v>BNK25-01964</v>
      </c>
      <c r="G17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6" s="10" t="str">
        <f>IF(tblBank[[#This Row],[RefEntry]]&lt;&gt;"",tblBank[[#This Row],[RefEntry]],tblBank[[#This Row],[AmountEntry]])</f>
        <v>BNK25-01964</v>
      </c>
      <c r="I176" s="10" t="str">
        <f>IF(tblBank[[#This Row],[RefEntry]]&lt;&gt;"","Reference",IF(tblBank[[#This Row],[AmountEntry]]&lt;&gt;"","Amount and date","None"))</f>
        <v>Reference</v>
      </c>
      <c r="J176" s="11">
        <f>IF(tblBank[[#This Row],[MatchedEntry]]="","",INDEX(tblLedger[Amount],MATCH(tblBank[[#This Row],[MatchedEntry]],tblLedger[Entry],0)))</f>
        <v>-2532.06</v>
      </c>
      <c r="K176" s="11">
        <f>IF(tblBank[[#This Row],[MatchedEntry]]="",0,ROUND(tblBank[[#This Row],[Amount]]-tblBank[[#This Row],[BookAmount]],2))</f>
        <v>0</v>
      </c>
      <c r="L176" s="10" t="str">
        <f>IF(tblBank[[#This Row],[MatchedEntry]]="","Not in books",IF(tblBank[[#This Row],[Difference]]&lt;&gt;0,"Amount difference","Matched"))</f>
        <v>Matched</v>
      </c>
      <c r="M17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6" s="10" t="str">
        <f>IF(tblBank[[#This Row],[Status]]="Matched","",COUNTIF(INDEX(tblBank[Status],1):tblBank[[#This Row],[Status]],"&lt;&gt;Matched"))</f>
        <v/>
      </c>
    </row>
    <row r="177" spans="1:15" x14ac:dyDescent="0.25">
      <c r="A177" s="10" t="s">
        <v>1092</v>
      </c>
      <c r="B177" s="6">
        <v>46014</v>
      </c>
      <c r="C177" s="10" t="s">
        <v>1093</v>
      </c>
      <c r="D177" s="10" t="s">
        <v>806</v>
      </c>
      <c r="E177" s="11">
        <v>-1731.72</v>
      </c>
      <c r="F177" s="10" t="str">
        <f>IF(tblBank[[#This Row],[Reference]]="","",IFERROR(INDEX(tblLedger[Entry],MATCH(tblBank[[#This Row],[Reference]],tblLedger[Reference],0)),""))</f>
        <v/>
      </c>
      <c r="G17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BNK25-01952</v>
      </c>
      <c r="H177" s="10" t="str">
        <f>IF(tblBank[[#This Row],[RefEntry]]&lt;&gt;"",tblBank[[#This Row],[RefEntry]],tblBank[[#This Row],[AmountEntry]])</f>
        <v>BNK25-01952</v>
      </c>
      <c r="I177" s="10" t="str">
        <f>IF(tblBank[[#This Row],[RefEntry]]&lt;&gt;"","Reference",IF(tblBank[[#This Row],[AmountEntry]]&lt;&gt;"","Amount and date","None"))</f>
        <v>Amount and date</v>
      </c>
      <c r="J177" s="11">
        <f>IF(tblBank[[#This Row],[MatchedEntry]]="","",INDEX(tblLedger[Amount],MATCH(tblBank[[#This Row],[MatchedEntry]],tblLedger[Entry],0)))</f>
        <v>-1731.72</v>
      </c>
      <c r="K177" s="11">
        <f>IF(tblBank[[#This Row],[MatchedEntry]]="",0,ROUND(tblBank[[#This Row],[Amount]]-tblBank[[#This Row],[BookAmount]],2))</f>
        <v>0</v>
      </c>
      <c r="L177" s="10" t="str">
        <f>IF(tblBank[[#This Row],[MatchedEntry]]="","Not in books",IF(tblBank[[#This Row],[Difference]]&lt;&gt;0,"Amount difference","Matched"))</f>
        <v>Matched</v>
      </c>
      <c r="M17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7" s="10" t="str">
        <f>IF(tblBank[[#This Row],[Status]]="Matched","",COUNTIF(INDEX(tblBank[Status],1):tblBank[[#This Row],[Status]],"&lt;&gt;Matched"))</f>
        <v/>
      </c>
    </row>
    <row r="178" spans="1:15" x14ac:dyDescent="0.25">
      <c r="A178" s="10" t="s">
        <v>1094</v>
      </c>
      <c r="B178" s="6">
        <v>46014</v>
      </c>
      <c r="C178" s="10" t="s">
        <v>1095</v>
      </c>
      <c r="D178" s="10" t="s">
        <v>574</v>
      </c>
      <c r="E178" s="11">
        <v>3405.58</v>
      </c>
      <c r="F178" s="10" t="str">
        <f>IF(tblBank[[#This Row],[Reference]]="","",IFERROR(INDEX(tblLedger[Entry],MATCH(tblBank[[#This Row],[Reference]],tblLedger[Reference],0)),""))</f>
        <v>BNK25-01970</v>
      </c>
      <c r="G17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8" s="10" t="str">
        <f>IF(tblBank[[#This Row],[RefEntry]]&lt;&gt;"",tblBank[[#This Row],[RefEntry]],tblBank[[#This Row],[AmountEntry]])</f>
        <v>BNK25-01970</v>
      </c>
      <c r="I178" s="10" t="str">
        <f>IF(tblBank[[#This Row],[RefEntry]]&lt;&gt;"","Reference",IF(tblBank[[#This Row],[AmountEntry]]&lt;&gt;"","Amount and date","None"))</f>
        <v>Reference</v>
      </c>
      <c r="J178" s="11">
        <f>IF(tblBank[[#This Row],[MatchedEntry]]="","",INDEX(tblLedger[Amount],MATCH(tblBank[[#This Row],[MatchedEntry]],tblLedger[Entry],0)))</f>
        <v>3405.58</v>
      </c>
      <c r="K178" s="11">
        <f>IF(tblBank[[#This Row],[MatchedEntry]]="",0,ROUND(tblBank[[#This Row],[Amount]]-tblBank[[#This Row],[BookAmount]],2))</f>
        <v>0</v>
      </c>
      <c r="L178" s="10" t="str">
        <f>IF(tblBank[[#This Row],[MatchedEntry]]="","Not in books",IF(tblBank[[#This Row],[Difference]]&lt;&gt;0,"Amount difference","Matched"))</f>
        <v>Matched</v>
      </c>
      <c r="M17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8" s="10" t="str">
        <f>IF(tblBank[[#This Row],[Status]]="Matched","",COUNTIF(INDEX(tblBank[Status],1):tblBank[[#This Row],[Status]],"&lt;&gt;Matched"))</f>
        <v/>
      </c>
    </row>
    <row r="179" spans="1:15" x14ac:dyDescent="0.25">
      <c r="A179" s="10" t="s">
        <v>1096</v>
      </c>
      <c r="B179" s="6">
        <v>46014</v>
      </c>
      <c r="C179" s="10" t="s">
        <v>1097</v>
      </c>
      <c r="D179" s="10" t="s">
        <v>568</v>
      </c>
      <c r="E179" s="11">
        <v>3531.36</v>
      </c>
      <c r="F179" s="10" t="str">
        <f>IF(tblBank[[#This Row],[Reference]]="","",IFERROR(INDEX(tblLedger[Entry],MATCH(tblBank[[#This Row],[Reference]],tblLedger[Reference],0)),""))</f>
        <v>BNK25-01968</v>
      </c>
      <c r="G17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79" s="10" t="str">
        <f>IF(tblBank[[#This Row],[RefEntry]]&lt;&gt;"",tblBank[[#This Row],[RefEntry]],tblBank[[#This Row],[AmountEntry]])</f>
        <v>BNK25-01968</v>
      </c>
      <c r="I179" s="10" t="str">
        <f>IF(tblBank[[#This Row],[RefEntry]]&lt;&gt;"","Reference",IF(tblBank[[#This Row],[AmountEntry]]&lt;&gt;"","Amount and date","None"))</f>
        <v>Reference</v>
      </c>
      <c r="J179" s="11">
        <f>IF(tblBank[[#This Row],[MatchedEntry]]="","",INDEX(tblLedger[Amount],MATCH(tblBank[[#This Row],[MatchedEntry]],tblLedger[Entry],0)))</f>
        <v>3531.36</v>
      </c>
      <c r="K179" s="11">
        <f>IF(tblBank[[#This Row],[MatchedEntry]]="",0,ROUND(tblBank[[#This Row],[Amount]]-tblBank[[#This Row],[BookAmount]],2))</f>
        <v>0</v>
      </c>
      <c r="L179" s="10" t="str">
        <f>IF(tblBank[[#This Row],[MatchedEntry]]="","Not in books",IF(tblBank[[#This Row],[Difference]]&lt;&gt;0,"Amount difference","Matched"))</f>
        <v>Matched</v>
      </c>
      <c r="M17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7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79" s="10" t="str">
        <f>IF(tblBank[[#This Row],[Status]]="Matched","",COUNTIF(INDEX(tblBank[Status],1):tblBank[[#This Row],[Status]],"&lt;&gt;Matched"))</f>
        <v/>
      </c>
    </row>
    <row r="180" spans="1:15" x14ac:dyDescent="0.25">
      <c r="A180" s="10" t="s">
        <v>1098</v>
      </c>
      <c r="B180" s="6">
        <v>46014</v>
      </c>
      <c r="C180" s="10" t="s">
        <v>1099</v>
      </c>
      <c r="D180" s="10" t="s">
        <v>577</v>
      </c>
      <c r="E180" s="11">
        <v>1644.48</v>
      </c>
      <c r="F180" s="10" t="str">
        <f>IF(tblBank[[#This Row],[Reference]]="","",IFERROR(INDEX(tblLedger[Entry],MATCH(tblBank[[#This Row],[Reference]],tblLedger[Reference],0)),""))</f>
        <v>BNK25-01971</v>
      </c>
      <c r="G18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0" s="10" t="str">
        <f>IF(tblBank[[#This Row],[RefEntry]]&lt;&gt;"",tblBank[[#This Row],[RefEntry]],tblBank[[#This Row],[AmountEntry]])</f>
        <v>BNK25-01971</v>
      </c>
      <c r="I180" s="10" t="str">
        <f>IF(tblBank[[#This Row],[RefEntry]]&lt;&gt;"","Reference",IF(tblBank[[#This Row],[AmountEntry]]&lt;&gt;"","Amount and date","None"))</f>
        <v>Reference</v>
      </c>
      <c r="J180" s="11">
        <f>IF(tblBank[[#This Row],[MatchedEntry]]="","",INDEX(tblLedger[Amount],MATCH(tblBank[[#This Row],[MatchedEntry]],tblLedger[Entry],0)))</f>
        <v>1644.48</v>
      </c>
      <c r="K180" s="11">
        <f>IF(tblBank[[#This Row],[MatchedEntry]]="",0,ROUND(tblBank[[#This Row],[Amount]]-tblBank[[#This Row],[BookAmount]],2))</f>
        <v>0</v>
      </c>
      <c r="L180" s="10" t="str">
        <f>IF(tblBank[[#This Row],[MatchedEntry]]="","Not in books",IF(tblBank[[#This Row],[Difference]]&lt;&gt;0,"Amount difference","Matched"))</f>
        <v>Matched</v>
      </c>
      <c r="M18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0" s="10" t="str">
        <f>IF(tblBank[[#This Row],[Status]]="Matched","",COUNTIF(INDEX(tblBank[Status],1):tblBank[[#This Row],[Status]],"&lt;&gt;Matched"))</f>
        <v/>
      </c>
    </row>
    <row r="181" spans="1:15" x14ac:dyDescent="0.25">
      <c r="A181" s="10" t="s">
        <v>1100</v>
      </c>
      <c r="B181" s="6">
        <v>46014</v>
      </c>
      <c r="C181" s="10" t="s">
        <v>1101</v>
      </c>
      <c r="D181" s="10" t="s">
        <v>580</v>
      </c>
      <c r="E181" s="11">
        <v>495.9</v>
      </c>
      <c r="F181" s="10" t="str">
        <f>IF(tblBank[[#This Row],[Reference]]="","",IFERROR(INDEX(tblLedger[Entry],MATCH(tblBank[[#This Row],[Reference]],tblLedger[Reference],0)),""))</f>
        <v>BNK25-01972</v>
      </c>
      <c r="G18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1" s="10" t="str">
        <f>IF(tblBank[[#This Row],[RefEntry]]&lt;&gt;"",tblBank[[#This Row],[RefEntry]],tblBank[[#This Row],[AmountEntry]])</f>
        <v>BNK25-01972</v>
      </c>
      <c r="I181" s="10" t="str">
        <f>IF(tblBank[[#This Row],[RefEntry]]&lt;&gt;"","Reference",IF(tblBank[[#This Row],[AmountEntry]]&lt;&gt;"","Amount and date","None"))</f>
        <v>Reference</v>
      </c>
      <c r="J181" s="11">
        <f>IF(tblBank[[#This Row],[MatchedEntry]]="","",INDEX(tblLedger[Amount],MATCH(tblBank[[#This Row],[MatchedEntry]],tblLedger[Entry],0)))</f>
        <v>495.9</v>
      </c>
      <c r="K181" s="11">
        <f>IF(tblBank[[#This Row],[MatchedEntry]]="",0,ROUND(tblBank[[#This Row],[Amount]]-tblBank[[#This Row],[BookAmount]],2))</f>
        <v>0</v>
      </c>
      <c r="L181" s="10" t="str">
        <f>IF(tblBank[[#This Row],[MatchedEntry]]="","Not in books",IF(tblBank[[#This Row],[Difference]]&lt;&gt;0,"Amount difference","Matched"))</f>
        <v>Matched</v>
      </c>
      <c r="M18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1" s="10" t="str">
        <f>IF(tblBank[[#This Row],[Status]]="Matched","",COUNTIF(INDEX(tblBank[Status],1):tblBank[[#This Row],[Status]],"&lt;&gt;Matched"))</f>
        <v/>
      </c>
    </row>
    <row r="182" spans="1:15" x14ac:dyDescent="0.25">
      <c r="A182" s="10" t="s">
        <v>1102</v>
      </c>
      <c r="B182" s="6">
        <v>46014</v>
      </c>
      <c r="C182" s="10" t="s">
        <v>1103</v>
      </c>
      <c r="D182" s="10" t="s">
        <v>571</v>
      </c>
      <c r="E182" s="11">
        <v>251.72</v>
      </c>
      <c r="F182" s="10" t="str">
        <f>IF(tblBank[[#This Row],[Reference]]="","",IFERROR(INDEX(tblLedger[Entry],MATCH(tblBank[[#This Row],[Reference]],tblLedger[Reference],0)),""))</f>
        <v>BNK25-01969</v>
      </c>
      <c r="G18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2" s="10" t="str">
        <f>IF(tblBank[[#This Row],[RefEntry]]&lt;&gt;"",tblBank[[#This Row],[RefEntry]],tblBank[[#This Row],[AmountEntry]])</f>
        <v>BNK25-01969</v>
      </c>
      <c r="I182" s="10" t="str">
        <f>IF(tblBank[[#This Row],[RefEntry]]&lt;&gt;"","Reference",IF(tblBank[[#This Row],[AmountEntry]]&lt;&gt;"","Amount and date","None"))</f>
        <v>Reference</v>
      </c>
      <c r="J182" s="11">
        <f>IF(tblBank[[#This Row],[MatchedEntry]]="","",INDEX(tblLedger[Amount],MATCH(tblBank[[#This Row],[MatchedEntry]],tblLedger[Entry],0)))</f>
        <v>251.72</v>
      </c>
      <c r="K182" s="11">
        <f>IF(tblBank[[#This Row],[MatchedEntry]]="",0,ROUND(tblBank[[#This Row],[Amount]]-tblBank[[#This Row],[BookAmount]],2))</f>
        <v>0</v>
      </c>
      <c r="L182" s="10" t="str">
        <f>IF(tblBank[[#This Row],[MatchedEntry]]="","Not in books",IF(tblBank[[#This Row],[Difference]]&lt;&gt;0,"Amount difference","Matched"))</f>
        <v>Matched</v>
      </c>
      <c r="M18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2" s="10" t="str">
        <f>IF(tblBank[[#This Row],[Status]]="Matched","",COUNTIF(INDEX(tblBank[Status],1):tblBank[[#This Row],[Status]],"&lt;&gt;Matched"))</f>
        <v/>
      </c>
    </row>
    <row r="183" spans="1:15" x14ac:dyDescent="0.25">
      <c r="A183" s="10" t="s">
        <v>1104</v>
      </c>
      <c r="B183" s="6">
        <v>46015</v>
      </c>
      <c r="C183" s="10" t="s">
        <v>1105</v>
      </c>
      <c r="D183" s="10" t="s">
        <v>604</v>
      </c>
      <c r="E183" s="11">
        <v>-601.80999999999995</v>
      </c>
      <c r="F183" s="10" t="str">
        <f>IF(tblBank[[#This Row],[Reference]]="","",IFERROR(INDEX(tblLedger[Entry],MATCH(tblBank[[#This Row],[Reference]],tblLedger[Reference],0)),""))</f>
        <v>BNK25-01980</v>
      </c>
      <c r="G18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3" s="10" t="str">
        <f>IF(tblBank[[#This Row],[RefEntry]]&lt;&gt;"",tblBank[[#This Row],[RefEntry]],tblBank[[#This Row],[AmountEntry]])</f>
        <v>BNK25-01980</v>
      </c>
      <c r="I183" s="10" t="str">
        <f>IF(tblBank[[#This Row],[RefEntry]]&lt;&gt;"","Reference",IF(tblBank[[#This Row],[AmountEntry]]&lt;&gt;"","Amount and date","None"))</f>
        <v>Reference</v>
      </c>
      <c r="J183" s="11">
        <f>IF(tblBank[[#This Row],[MatchedEntry]]="","",INDEX(tblLedger[Amount],MATCH(tblBank[[#This Row],[MatchedEntry]],tblLedger[Entry],0)))</f>
        <v>-601.80999999999995</v>
      </c>
      <c r="K183" s="11">
        <f>IF(tblBank[[#This Row],[MatchedEntry]]="",0,ROUND(tblBank[[#This Row],[Amount]]-tblBank[[#This Row],[BookAmount]],2))</f>
        <v>0</v>
      </c>
      <c r="L183" s="10" t="str">
        <f>IF(tblBank[[#This Row],[MatchedEntry]]="","Not in books",IF(tblBank[[#This Row],[Difference]]&lt;&gt;0,"Amount difference","Matched"))</f>
        <v>Matched</v>
      </c>
      <c r="M18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3" s="10" t="str">
        <f>IF(tblBank[[#This Row],[Status]]="Matched","",COUNTIF(INDEX(tblBank[Status],1):tblBank[[#This Row],[Status]],"&lt;&gt;Matched"))</f>
        <v/>
      </c>
    </row>
    <row r="184" spans="1:15" x14ac:dyDescent="0.25">
      <c r="A184" s="10" t="s">
        <v>1106</v>
      </c>
      <c r="B184" s="6">
        <v>46015</v>
      </c>
      <c r="C184" s="10" t="s">
        <v>1107</v>
      </c>
      <c r="D184" s="10" t="s">
        <v>607</v>
      </c>
      <c r="E184" s="11">
        <v>2584.14</v>
      </c>
      <c r="F184" s="10" t="str">
        <f>IF(tblBank[[#This Row],[Reference]]="","",IFERROR(INDEX(tblLedger[Entry],MATCH(tblBank[[#This Row],[Reference]],tblLedger[Reference],0)),""))</f>
        <v>BNK25-01981</v>
      </c>
      <c r="G18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4" s="10" t="str">
        <f>IF(tblBank[[#This Row],[RefEntry]]&lt;&gt;"",tblBank[[#This Row],[RefEntry]],tblBank[[#This Row],[AmountEntry]])</f>
        <v>BNK25-01981</v>
      </c>
      <c r="I184" s="10" t="str">
        <f>IF(tblBank[[#This Row],[RefEntry]]&lt;&gt;"","Reference",IF(tblBank[[#This Row],[AmountEntry]]&lt;&gt;"","Amount and date","None"))</f>
        <v>Reference</v>
      </c>
      <c r="J184" s="11">
        <f>IF(tblBank[[#This Row],[MatchedEntry]]="","",INDEX(tblLedger[Amount],MATCH(tblBank[[#This Row],[MatchedEntry]],tblLedger[Entry],0)))</f>
        <v>2584.14</v>
      </c>
      <c r="K184" s="11">
        <f>IF(tblBank[[#This Row],[MatchedEntry]]="",0,ROUND(tblBank[[#This Row],[Amount]]-tblBank[[#This Row],[BookAmount]],2))</f>
        <v>0</v>
      </c>
      <c r="L184" s="10" t="str">
        <f>IF(tblBank[[#This Row],[MatchedEntry]]="","Not in books",IF(tblBank[[#This Row],[Difference]]&lt;&gt;0,"Amount difference","Matched"))</f>
        <v>Matched</v>
      </c>
      <c r="M18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4" s="10" t="str">
        <f>IF(tblBank[[#This Row],[Status]]="Matched","",COUNTIF(INDEX(tblBank[Status],1):tblBank[[#This Row],[Status]],"&lt;&gt;Matched"))</f>
        <v/>
      </c>
    </row>
    <row r="185" spans="1:15" x14ac:dyDescent="0.25">
      <c r="A185" s="10" t="s">
        <v>1108</v>
      </c>
      <c r="B185" s="6">
        <v>46015</v>
      </c>
      <c r="C185" s="10" t="s">
        <v>1109</v>
      </c>
      <c r="D185" s="10" t="s">
        <v>592</v>
      </c>
      <c r="E185" s="11">
        <v>621.04999999999995</v>
      </c>
      <c r="F185" s="10" t="str">
        <f>IF(tblBank[[#This Row],[Reference]]="","",IFERROR(INDEX(tblLedger[Entry],MATCH(tblBank[[#This Row],[Reference]],tblLedger[Reference],0)),""))</f>
        <v>BNK25-01976</v>
      </c>
      <c r="G18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5" s="10" t="str">
        <f>IF(tblBank[[#This Row],[RefEntry]]&lt;&gt;"",tblBank[[#This Row],[RefEntry]],tblBank[[#This Row],[AmountEntry]])</f>
        <v>BNK25-01976</v>
      </c>
      <c r="I185" s="10" t="str">
        <f>IF(tblBank[[#This Row],[RefEntry]]&lt;&gt;"","Reference",IF(tblBank[[#This Row],[AmountEntry]]&lt;&gt;"","Amount and date","None"))</f>
        <v>Reference</v>
      </c>
      <c r="J185" s="11">
        <f>IF(tblBank[[#This Row],[MatchedEntry]]="","",INDEX(tblLedger[Amount],MATCH(tblBank[[#This Row],[MatchedEntry]],tblLedger[Entry],0)))</f>
        <v>621.04999999999995</v>
      </c>
      <c r="K185" s="11">
        <f>IF(tblBank[[#This Row],[MatchedEntry]]="",0,ROUND(tblBank[[#This Row],[Amount]]-tblBank[[#This Row],[BookAmount]],2))</f>
        <v>0</v>
      </c>
      <c r="L185" s="10" t="str">
        <f>IF(tblBank[[#This Row],[MatchedEntry]]="","Not in books",IF(tblBank[[#This Row],[Difference]]&lt;&gt;0,"Amount difference","Matched"))</f>
        <v>Matched</v>
      </c>
      <c r="M18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5" s="10" t="str">
        <f>IF(tblBank[[#This Row],[Status]]="Matched","",COUNTIF(INDEX(tblBank[Status],1):tblBank[[#This Row],[Status]],"&lt;&gt;Matched"))</f>
        <v/>
      </c>
    </row>
    <row r="186" spans="1:15" x14ac:dyDescent="0.25">
      <c r="A186" s="10" t="s">
        <v>1110</v>
      </c>
      <c r="B186" s="6">
        <v>46015</v>
      </c>
      <c r="C186" s="10" t="s">
        <v>1111</v>
      </c>
      <c r="D186" s="10" t="s">
        <v>601</v>
      </c>
      <c r="E186" s="11">
        <v>701.63</v>
      </c>
      <c r="F186" s="10" t="str">
        <f>IF(tblBank[[#This Row],[Reference]]="","",IFERROR(INDEX(tblLedger[Entry],MATCH(tblBank[[#This Row],[Reference]],tblLedger[Reference],0)),""))</f>
        <v>BNK25-01979</v>
      </c>
      <c r="G18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6" s="10" t="str">
        <f>IF(tblBank[[#This Row],[RefEntry]]&lt;&gt;"",tblBank[[#This Row],[RefEntry]],tblBank[[#This Row],[AmountEntry]])</f>
        <v>BNK25-01979</v>
      </c>
      <c r="I186" s="10" t="str">
        <f>IF(tblBank[[#This Row],[RefEntry]]&lt;&gt;"","Reference",IF(tblBank[[#This Row],[AmountEntry]]&lt;&gt;"","Amount and date","None"))</f>
        <v>Reference</v>
      </c>
      <c r="J186" s="11">
        <f>IF(tblBank[[#This Row],[MatchedEntry]]="","",INDEX(tblLedger[Amount],MATCH(tblBank[[#This Row],[MatchedEntry]],tblLedger[Entry],0)))</f>
        <v>701.63</v>
      </c>
      <c r="K186" s="11">
        <f>IF(tblBank[[#This Row],[MatchedEntry]]="",0,ROUND(tblBank[[#This Row],[Amount]]-tblBank[[#This Row],[BookAmount]],2))</f>
        <v>0</v>
      </c>
      <c r="L186" s="10" t="str">
        <f>IF(tblBank[[#This Row],[MatchedEntry]]="","Not in books",IF(tblBank[[#This Row],[Difference]]&lt;&gt;0,"Amount difference","Matched"))</f>
        <v>Matched</v>
      </c>
      <c r="M18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6" s="10" t="str">
        <f>IF(tblBank[[#This Row],[Status]]="Matched","",COUNTIF(INDEX(tblBank[Status],1):tblBank[[#This Row],[Status]],"&lt;&gt;Matched"))</f>
        <v/>
      </c>
    </row>
    <row r="187" spans="1:15" x14ac:dyDescent="0.25">
      <c r="A187" s="10" t="s">
        <v>1112</v>
      </c>
      <c r="B187" s="6">
        <v>46015</v>
      </c>
      <c r="C187" s="10" t="s">
        <v>1113</v>
      </c>
      <c r="D187" s="10" t="s">
        <v>589</v>
      </c>
      <c r="E187" s="11">
        <v>1801.99</v>
      </c>
      <c r="F187" s="10" t="str">
        <f>IF(tblBank[[#This Row],[Reference]]="","",IFERROR(INDEX(tblLedger[Entry],MATCH(tblBank[[#This Row],[Reference]],tblLedger[Reference],0)),""))</f>
        <v>BNK25-01975</v>
      </c>
      <c r="G18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7" s="10" t="str">
        <f>IF(tblBank[[#This Row],[RefEntry]]&lt;&gt;"",tblBank[[#This Row],[RefEntry]],tblBank[[#This Row],[AmountEntry]])</f>
        <v>BNK25-01975</v>
      </c>
      <c r="I187" s="10" t="str">
        <f>IF(tblBank[[#This Row],[RefEntry]]&lt;&gt;"","Reference",IF(tblBank[[#This Row],[AmountEntry]]&lt;&gt;"","Amount and date","None"))</f>
        <v>Reference</v>
      </c>
      <c r="J187" s="11">
        <f>IF(tblBank[[#This Row],[MatchedEntry]]="","",INDEX(tblLedger[Amount],MATCH(tblBank[[#This Row],[MatchedEntry]],tblLedger[Entry],0)))</f>
        <v>1801.99</v>
      </c>
      <c r="K187" s="11">
        <f>IF(tblBank[[#This Row],[MatchedEntry]]="",0,ROUND(tblBank[[#This Row],[Amount]]-tblBank[[#This Row],[BookAmount]],2))</f>
        <v>0</v>
      </c>
      <c r="L187" s="10" t="str">
        <f>IF(tblBank[[#This Row],[MatchedEntry]]="","Not in books",IF(tblBank[[#This Row],[Difference]]&lt;&gt;0,"Amount difference","Matched"))</f>
        <v>Matched</v>
      </c>
      <c r="M18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7" s="10" t="str">
        <f>IF(tblBank[[#This Row],[Status]]="Matched","",COUNTIF(INDEX(tblBank[Status],1):tblBank[[#This Row],[Status]],"&lt;&gt;Matched"))</f>
        <v/>
      </c>
    </row>
    <row r="188" spans="1:15" x14ac:dyDescent="0.25">
      <c r="A188" s="10" t="s">
        <v>1114</v>
      </c>
      <c r="B188" s="6">
        <v>46015</v>
      </c>
      <c r="C188" s="10" t="s">
        <v>1115</v>
      </c>
      <c r="D188" s="10" t="s">
        <v>586</v>
      </c>
      <c r="E188" s="11">
        <v>383.02</v>
      </c>
      <c r="F188" s="10" t="str">
        <f>IF(tblBank[[#This Row],[Reference]]="","",IFERROR(INDEX(tblLedger[Entry],MATCH(tblBank[[#This Row],[Reference]],tblLedger[Reference],0)),""))</f>
        <v>BNK25-01974</v>
      </c>
      <c r="G18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8" s="10" t="str">
        <f>IF(tblBank[[#This Row],[RefEntry]]&lt;&gt;"",tblBank[[#This Row],[RefEntry]],tblBank[[#This Row],[AmountEntry]])</f>
        <v>BNK25-01974</v>
      </c>
      <c r="I188" s="10" t="str">
        <f>IF(tblBank[[#This Row],[RefEntry]]&lt;&gt;"","Reference",IF(tblBank[[#This Row],[AmountEntry]]&lt;&gt;"","Amount and date","None"))</f>
        <v>Reference</v>
      </c>
      <c r="J188" s="11">
        <f>IF(tblBank[[#This Row],[MatchedEntry]]="","",INDEX(tblLedger[Amount],MATCH(tblBank[[#This Row],[MatchedEntry]],tblLedger[Entry],0)))</f>
        <v>383.02</v>
      </c>
      <c r="K188" s="11">
        <f>IF(tblBank[[#This Row],[MatchedEntry]]="",0,ROUND(tblBank[[#This Row],[Amount]]-tblBank[[#This Row],[BookAmount]],2))</f>
        <v>0</v>
      </c>
      <c r="L188" s="10" t="str">
        <f>IF(tblBank[[#This Row],[MatchedEntry]]="","Not in books",IF(tblBank[[#This Row],[Difference]]&lt;&gt;0,"Amount difference","Matched"))</f>
        <v>Matched</v>
      </c>
      <c r="M18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8" s="10" t="str">
        <f>IF(tblBank[[#This Row],[Status]]="Matched","",COUNTIF(INDEX(tblBank[Status],1):tblBank[[#This Row],[Status]],"&lt;&gt;Matched"))</f>
        <v/>
      </c>
    </row>
    <row r="189" spans="1:15" x14ac:dyDescent="0.25">
      <c r="A189" s="10" t="s">
        <v>1116</v>
      </c>
      <c r="B189" s="6">
        <v>46015</v>
      </c>
      <c r="C189" s="10" t="s">
        <v>1117</v>
      </c>
      <c r="D189" s="10" t="s">
        <v>583</v>
      </c>
      <c r="E189" s="11">
        <v>42</v>
      </c>
      <c r="F189" s="10" t="str">
        <f>IF(tblBank[[#This Row],[Reference]]="","",IFERROR(INDEX(tblLedger[Entry],MATCH(tblBank[[#This Row],[Reference]],tblLedger[Reference],0)),""))</f>
        <v>BNK25-01973</v>
      </c>
      <c r="G18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89" s="10" t="str">
        <f>IF(tblBank[[#This Row],[RefEntry]]&lt;&gt;"",tblBank[[#This Row],[RefEntry]],tblBank[[#This Row],[AmountEntry]])</f>
        <v>BNK25-01973</v>
      </c>
      <c r="I189" s="10" t="str">
        <f>IF(tblBank[[#This Row],[RefEntry]]&lt;&gt;"","Reference",IF(tblBank[[#This Row],[AmountEntry]]&lt;&gt;"","Amount and date","None"))</f>
        <v>Reference</v>
      </c>
      <c r="J189" s="11">
        <f>IF(tblBank[[#This Row],[MatchedEntry]]="","",INDEX(tblLedger[Amount],MATCH(tblBank[[#This Row],[MatchedEntry]],tblLedger[Entry],0)))</f>
        <v>42</v>
      </c>
      <c r="K189" s="11">
        <f>IF(tblBank[[#This Row],[MatchedEntry]]="",0,ROUND(tblBank[[#This Row],[Amount]]-tblBank[[#This Row],[BookAmount]],2))</f>
        <v>0</v>
      </c>
      <c r="L189" s="10" t="str">
        <f>IF(tblBank[[#This Row],[MatchedEntry]]="","Not in books",IF(tblBank[[#This Row],[Difference]]&lt;&gt;0,"Amount difference","Matched"))</f>
        <v>Matched</v>
      </c>
      <c r="M18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8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89" s="10" t="str">
        <f>IF(tblBank[[#This Row],[Status]]="Matched","",COUNTIF(INDEX(tblBank[Status],1):tblBank[[#This Row],[Status]],"&lt;&gt;Matched"))</f>
        <v/>
      </c>
    </row>
    <row r="190" spans="1:15" x14ac:dyDescent="0.25">
      <c r="A190" s="10" t="s">
        <v>1118</v>
      </c>
      <c r="B190" s="6">
        <v>46017</v>
      </c>
      <c r="C190" s="10" t="s">
        <v>1119</v>
      </c>
      <c r="D190" s="10" t="s">
        <v>598</v>
      </c>
      <c r="E190" s="11">
        <v>-3682.04</v>
      </c>
      <c r="F190" s="10" t="str">
        <f>IF(tblBank[[#This Row],[Reference]]="","",IFERROR(INDEX(tblLedger[Entry],MATCH(tblBank[[#This Row],[Reference]],tblLedger[Reference],0)),""))</f>
        <v>BNK25-01978</v>
      </c>
      <c r="G19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0" s="10" t="str">
        <f>IF(tblBank[[#This Row],[RefEntry]]&lt;&gt;"",tblBank[[#This Row],[RefEntry]],tblBank[[#This Row],[AmountEntry]])</f>
        <v>BNK25-01978</v>
      </c>
      <c r="I190" s="10" t="str">
        <f>IF(tblBank[[#This Row],[RefEntry]]&lt;&gt;"","Reference",IF(tblBank[[#This Row],[AmountEntry]]&lt;&gt;"","Amount and date","None"))</f>
        <v>Reference</v>
      </c>
      <c r="J190" s="11">
        <f>IF(tblBank[[#This Row],[MatchedEntry]]="","",INDEX(tblLedger[Amount],MATCH(tblBank[[#This Row],[MatchedEntry]],tblLedger[Entry],0)))</f>
        <v>-3682.04</v>
      </c>
      <c r="K190" s="11">
        <f>IF(tblBank[[#This Row],[MatchedEntry]]="",0,ROUND(tblBank[[#This Row],[Amount]]-tblBank[[#This Row],[BookAmount]],2))</f>
        <v>0</v>
      </c>
      <c r="L190" s="10" t="str">
        <f>IF(tblBank[[#This Row],[MatchedEntry]]="","Not in books",IF(tblBank[[#This Row],[Difference]]&lt;&gt;0,"Amount difference","Matched"))</f>
        <v>Matched</v>
      </c>
      <c r="M19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0" s="10" t="str">
        <f>IF(tblBank[[#This Row],[Status]]="Matched","",COUNTIF(INDEX(tblBank[Status],1):tblBank[[#This Row],[Status]],"&lt;&gt;Matched"))</f>
        <v/>
      </c>
    </row>
    <row r="191" spans="1:15" x14ac:dyDescent="0.25">
      <c r="A191" s="10" t="s">
        <v>1120</v>
      </c>
      <c r="B191" s="6">
        <v>46017</v>
      </c>
      <c r="C191" s="10" t="s">
        <v>1121</v>
      </c>
      <c r="D191" s="10" t="s">
        <v>565</v>
      </c>
      <c r="E191" s="11">
        <v>-346</v>
      </c>
      <c r="F191" s="10" t="str">
        <f>IF(tblBank[[#This Row],[Reference]]="","",IFERROR(INDEX(tblLedger[Entry],MATCH(tblBank[[#This Row],[Reference]],tblLedger[Reference],0)),""))</f>
        <v>BNK25-01967</v>
      </c>
      <c r="G19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1" s="10" t="str">
        <f>IF(tblBank[[#This Row],[RefEntry]]&lt;&gt;"",tblBank[[#This Row],[RefEntry]],tblBank[[#This Row],[AmountEntry]])</f>
        <v>BNK25-01967</v>
      </c>
      <c r="I191" s="10" t="str">
        <f>IF(tblBank[[#This Row],[RefEntry]]&lt;&gt;"","Reference",IF(tblBank[[#This Row],[AmountEntry]]&lt;&gt;"","Amount and date","None"))</f>
        <v>Reference</v>
      </c>
      <c r="J191" s="11">
        <f>IF(tblBank[[#This Row],[MatchedEntry]]="","",INDEX(tblLedger[Amount],MATCH(tblBank[[#This Row],[MatchedEntry]],tblLedger[Entry],0)))</f>
        <v>-346</v>
      </c>
      <c r="K191" s="11">
        <f>IF(tblBank[[#This Row],[MatchedEntry]]="",0,ROUND(tblBank[[#This Row],[Amount]]-tblBank[[#This Row],[BookAmount]],2))</f>
        <v>0</v>
      </c>
      <c r="L191" s="10" t="str">
        <f>IF(tblBank[[#This Row],[MatchedEntry]]="","Not in books",IF(tblBank[[#This Row],[Difference]]&lt;&gt;0,"Amount difference","Matched"))</f>
        <v>Matched</v>
      </c>
      <c r="M19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1" s="10" t="str">
        <f>IF(tblBank[[#This Row],[Status]]="Matched","",COUNTIF(INDEX(tblBank[Status],1):tblBank[[#This Row],[Status]],"&lt;&gt;Matched"))</f>
        <v/>
      </c>
    </row>
    <row r="192" spans="1:15" x14ac:dyDescent="0.25">
      <c r="A192" s="10" t="s">
        <v>1122</v>
      </c>
      <c r="B192" s="6">
        <v>46017</v>
      </c>
      <c r="C192" s="10" t="s">
        <v>1123</v>
      </c>
      <c r="D192" s="10" t="s">
        <v>595</v>
      </c>
      <c r="E192" s="11">
        <v>-3156.11</v>
      </c>
      <c r="F192" s="10" t="str">
        <f>IF(tblBank[[#This Row],[Reference]]="","",IFERROR(INDEX(tblLedger[Entry],MATCH(tblBank[[#This Row],[Reference]],tblLedger[Reference],0)),""))</f>
        <v>BNK25-01977</v>
      </c>
      <c r="G19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2" s="10" t="str">
        <f>IF(tblBank[[#This Row],[RefEntry]]&lt;&gt;"",tblBank[[#This Row],[RefEntry]],tblBank[[#This Row],[AmountEntry]])</f>
        <v>BNK25-01977</v>
      </c>
      <c r="I192" s="10" t="str">
        <f>IF(tblBank[[#This Row],[RefEntry]]&lt;&gt;"","Reference",IF(tblBank[[#This Row],[AmountEntry]]&lt;&gt;"","Amount and date","None"))</f>
        <v>Reference</v>
      </c>
      <c r="J192" s="11">
        <f>IF(tblBank[[#This Row],[MatchedEntry]]="","",INDEX(tblLedger[Amount],MATCH(tblBank[[#This Row],[MatchedEntry]],tblLedger[Entry],0)))</f>
        <v>-3156.11</v>
      </c>
      <c r="K192" s="11">
        <f>IF(tblBank[[#This Row],[MatchedEntry]]="",0,ROUND(tblBank[[#This Row],[Amount]]-tblBank[[#This Row],[BookAmount]],2))</f>
        <v>0</v>
      </c>
      <c r="L192" s="10" t="str">
        <f>IF(tblBank[[#This Row],[MatchedEntry]]="","Not in books",IF(tblBank[[#This Row],[Difference]]&lt;&gt;0,"Amount difference","Matched"))</f>
        <v>Matched</v>
      </c>
      <c r="M19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2" s="10" t="str">
        <f>IF(tblBank[[#This Row],[Status]]="Matched","",COUNTIF(INDEX(tblBank[Status],1):tblBank[[#This Row],[Status]],"&lt;&gt;Matched"))</f>
        <v/>
      </c>
    </row>
    <row r="193" spans="1:15" x14ac:dyDescent="0.25">
      <c r="A193" s="10" t="s">
        <v>1124</v>
      </c>
      <c r="B193" s="6">
        <v>46017</v>
      </c>
      <c r="C193" s="10" t="s">
        <v>1125</v>
      </c>
      <c r="D193" s="10" t="s">
        <v>622</v>
      </c>
      <c r="E193" s="11">
        <v>235.03</v>
      </c>
      <c r="F193" s="10" t="str">
        <f>IF(tblBank[[#This Row],[Reference]]="","",IFERROR(INDEX(tblLedger[Entry],MATCH(tblBank[[#This Row],[Reference]],tblLedger[Reference],0)),""))</f>
        <v>BNK25-01986</v>
      </c>
      <c r="G19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3" s="10" t="str">
        <f>IF(tblBank[[#This Row],[RefEntry]]&lt;&gt;"",tblBank[[#This Row],[RefEntry]],tblBank[[#This Row],[AmountEntry]])</f>
        <v>BNK25-01986</v>
      </c>
      <c r="I193" s="10" t="str">
        <f>IF(tblBank[[#This Row],[RefEntry]]&lt;&gt;"","Reference",IF(tblBank[[#This Row],[AmountEntry]]&lt;&gt;"","Amount and date","None"))</f>
        <v>Reference</v>
      </c>
      <c r="J193" s="11">
        <f>IF(tblBank[[#This Row],[MatchedEntry]]="","",INDEX(tblLedger[Amount],MATCH(tblBank[[#This Row],[MatchedEntry]],tblLedger[Entry],0)))</f>
        <v>235.03</v>
      </c>
      <c r="K193" s="11">
        <f>IF(tblBank[[#This Row],[MatchedEntry]]="",0,ROUND(tblBank[[#This Row],[Amount]]-tblBank[[#This Row],[BookAmount]],2))</f>
        <v>0</v>
      </c>
      <c r="L193" s="10" t="str">
        <f>IF(tblBank[[#This Row],[MatchedEntry]]="","Not in books",IF(tblBank[[#This Row],[Difference]]&lt;&gt;0,"Amount difference","Matched"))</f>
        <v>Matched</v>
      </c>
      <c r="M19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3" s="10" t="str">
        <f>IF(tblBank[[#This Row],[Status]]="Matched","",COUNTIF(INDEX(tblBank[Status],1):tblBank[[#This Row],[Status]],"&lt;&gt;Matched"))</f>
        <v/>
      </c>
    </row>
    <row r="194" spans="1:15" x14ac:dyDescent="0.25">
      <c r="A194" s="10" t="s">
        <v>1126</v>
      </c>
      <c r="B194" s="6">
        <v>46017</v>
      </c>
      <c r="C194" s="10" t="s">
        <v>1127</v>
      </c>
      <c r="D194" s="10" t="s">
        <v>643</v>
      </c>
      <c r="E194" s="11">
        <v>159.13999999999999</v>
      </c>
      <c r="F194" s="10" t="str">
        <f>IF(tblBank[[#This Row],[Reference]]="","",IFERROR(INDEX(tblLedger[Entry],MATCH(tblBank[[#This Row],[Reference]],tblLedger[Reference],0)),""))</f>
        <v>BNK25-01993</v>
      </c>
      <c r="G19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4" s="10" t="str">
        <f>IF(tblBank[[#This Row],[RefEntry]]&lt;&gt;"",tblBank[[#This Row],[RefEntry]],tblBank[[#This Row],[AmountEntry]])</f>
        <v>BNK25-01993</v>
      </c>
      <c r="I194" s="10" t="str">
        <f>IF(tblBank[[#This Row],[RefEntry]]&lt;&gt;"","Reference",IF(tblBank[[#This Row],[AmountEntry]]&lt;&gt;"","Amount and date","None"))</f>
        <v>Reference</v>
      </c>
      <c r="J194" s="11">
        <f>IF(tblBank[[#This Row],[MatchedEntry]]="","",INDEX(tblLedger[Amount],MATCH(tblBank[[#This Row],[MatchedEntry]],tblLedger[Entry],0)))</f>
        <v>159.13999999999999</v>
      </c>
      <c r="K194" s="11">
        <f>IF(tblBank[[#This Row],[MatchedEntry]]="",0,ROUND(tblBank[[#This Row],[Amount]]-tblBank[[#This Row],[BookAmount]],2))</f>
        <v>0</v>
      </c>
      <c r="L194" s="10" t="str">
        <f>IF(tblBank[[#This Row],[MatchedEntry]]="","Not in books",IF(tblBank[[#This Row],[Difference]]&lt;&gt;0,"Amount difference","Matched"))</f>
        <v>Matched</v>
      </c>
      <c r="M19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4" s="10" t="str">
        <f>IF(tblBank[[#This Row],[Status]]="Matched","",COUNTIF(INDEX(tblBank[Status],1):tblBank[[#This Row],[Status]],"&lt;&gt;Matched"))</f>
        <v/>
      </c>
    </row>
    <row r="195" spans="1:15" x14ac:dyDescent="0.25">
      <c r="A195" s="10" t="s">
        <v>1128</v>
      </c>
      <c r="B195" s="6">
        <v>46017</v>
      </c>
      <c r="C195" s="10" t="s">
        <v>1129</v>
      </c>
      <c r="D195" s="10" t="s">
        <v>646</v>
      </c>
      <c r="E195" s="11">
        <v>6351.18</v>
      </c>
      <c r="F195" s="10" t="str">
        <f>IF(tblBank[[#This Row],[Reference]]="","",IFERROR(INDEX(tblLedger[Entry],MATCH(tblBank[[#This Row],[Reference]],tblLedger[Reference],0)),""))</f>
        <v>BNK25-01994</v>
      </c>
      <c r="G19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5" s="10" t="str">
        <f>IF(tblBank[[#This Row],[RefEntry]]&lt;&gt;"",tblBank[[#This Row],[RefEntry]],tblBank[[#This Row],[AmountEntry]])</f>
        <v>BNK25-01994</v>
      </c>
      <c r="I195" s="10" t="str">
        <f>IF(tblBank[[#This Row],[RefEntry]]&lt;&gt;"","Reference",IF(tblBank[[#This Row],[AmountEntry]]&lt;&gt;"","Amount and date","None"))</f>
        <v>Reference</v>
      </c>
      <c r="J195" s="11">
        <f>IF(tblBank[[#This Row],[MatchedEntry]]="","",INDEX(tblLedger[Amount],MATCH(tblBank[[#This Row],[MatchedEntry]],tblLedger[Entry],0)))</f>
        <v>6351.18</v>
      </c>
      <c r="K195" s="11">
        <f>IF(tblBank[[#This Row],[MatchedEntry]]="",0,ROUND(tblBank[[#This Row],[Amount]]-tblBank[[#This Row],[BookAmount]],2))</f>
        <v>0</v>
      </c>
      <c r="L195" s="10" t="str">
        <f>IF(tblBank[[#This Row],[MatchedEntry]]="","Not in books",IF(tblBank[[#This Row],[Difference]]&lt;&gt;0,"Amount difference","Matched"))</f>
        <v>Matched</v>
      </c>
      <c r="M19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5" s="10" t="str">
        <f>IF(tblBank[[#This Row],[Status]]="Matched","",COUNTIF(INDEX(tblBank[Status],1):tblBank[[#This Row],[Status]],"&lt;&gt;Matched"))</f>
        <v/>
      </c>
    </row>
    <row r="196" spans="1:15" x14ac:dyDescent="0.25">
      <c r="A196" s="10" t="s">
        <v>1130</v>
      </c>
      <c r="B196" s="6">
        <v>46017</v>
      </c>
      <c r="C196" s="10" t="s">
        <v>1131</v>
      </c>
      <c r="D196" s="10" t="s">
        <v>628</v>
      </c>
      <c r="E196" s="11">
        <v>2701.37</v>
      </c>
      <c r="F196" s="10" t="str">
        <f>IF(tblBank[[#This Row],[Reference]]="","",IFERROR(INDEX(tblLedger[Entry],MATCH(tblBank[[#This Row],[Reference]],tblLedger[Reference],0)),""))</f>
        <v>BNK25-01988</v>
      </c>
      <c r="G19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6" s="10" t="str">
        <f>IF(tblBank[[#This Row],[RefEntry]]&lt;&gt;"",tblBank[[#This Row],[RefEntry]],tblBank[[#This Row],[AmountEntry]])</f>
        <v>BNK25-01988</v>
      </c>
      <c r="I196" s="10" t="str">
        <f>IF(tblBank[[#This Row],[RefEntry]]&lt;&gt;"","Reference",IF(tblBank[[#This Row],[AmountEntry]]&lt;&gt;"","Amount and date","None"))</f>
        <v>Reference</v>
      </c>
      <c r="J196" s="11">
        <f>IF(tblBank[[#This Row],[MatchedEntry]]="","",INDEX(tblLedger[Amount],MATCH(tblBank[[#This Row],[MatchedEntry]],tblLedger[Entry],0)))</f>
        <v>2701.37</v>
      </c>
      <c r="K196" s="11">
        <f>IF(tblBank[[#This Row],[MatchedEntry]]="",0,ROUND(tblBank[[#This Row],[Amount]]-tblBank[[#This Row],[BookAmount]],2))</f>
        <v>0</v>
      </c>
      <c r="L196" s="10" t="str">
        <f>IF(tblBank[[#This Row],[MatchedEntry]]="","Not in books",IF(tblBank[[#This Row],[Difference]]&lt;&gt;0,"Amount difference","Matched"))</f>
        <v>Matched</v>
      </c>
      <c r="M19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6" s="10" t="str">
        <f>IF(tblBank[[#This Row],[Status]]="Matched","",COUNTIF(INDEX(tblBank[Status],1):tblBank[[#This Row],[Status]],"&lt;&gt;Matched"))</f>
        <v/>
      </c>
    </row>
    <row r="197" spans="1:15" x14ac:dyDescent="0.25">
      <c r="A197" s="10" t="s">
        <v>1132</v>
      </c>
      <c r="B197" s="6">
        <v>46017</v>
      </c>
      <c r="C197" s="10" t="s">
        <v>1133</v>
      </c>
      <c r="D197" s="10" t="s">
        <v>613</v>
      </c>
      <c r="E197" s="11">
        <v>20227.97</v>
      </c>
      <c r="F197" s="10" t="str">
        <f>IF(tblBank[[#This Row],[Reference]]="","",IFERROR(INDEX(tblLedger[Entry],MATCH(tblBank[[#This Row],[Reference]],tblLedger[Reference],0)),""))</f>
        <v>BNK25-01983</v>
      </c>
      <c r="G19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7" s="10" t="str">
        <f>IF(tblBank[[#This Row],[RefEntry]]&lt;&gt;"",tblBank[[#This Row],[RefEntry]],tblBank[[#This Row],[AmountEntry]])</f>
        <v>BNK25-01983</v>
      </c>
      <c r="I197" s="10" t="str">
        <f>IF(tblBank[[#This Row],[RefEntry]]&lt;&gt;"","Reference",IF(tblBank[[#This Row],[AmountEntry]]&lt;&gt;"","Amount and date","None"))</f>
        <v>Reference</v>
      </c>
      <c r="J197" s="11">
        <f>IF(tblBank[[#This Row],[MatchedEntry]]="","",INDEX(tblLedger[Amount],MATCH(tblBank[[#This Row],[MatchedEntry]],tblLedger[Entry],0)))</f>
        <v>20227.97</v>
      </c>
      <c r="K197" s="11">
        <f>IF(tblBank[[#This Row],[MatchedEntry]]="",0,ROUND(tblBank[[#This Row],[Amount]]-tblBank[[#This Row],[BookAmount]],2))</f>
        <v>0</v>
      </c>
      <c r="L197" s="10" t="str">
        <f>IF(tblBank[[#This Row],[MatchedEntry]]="","Not in books",IF(tblBank[[#This Row],[Difference]]&lt;&gt;0,"Amount difference","Matched"))</f>
        <v>Matched</v>
      </c>
      <c r="M19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7" s="10" t="str">
        <f>IF(tblBank[[#This Row],[Status]]="Matched","",COUNTIF(INDEX(tblBank[Status],1):tblBank[[#This Row],[Status]],"&lt;&gt;Matched"))</f>
        <v/>
      </c>
    </row>
    <row r="198" spans="1:15" x14ac:dyDescent="0.25">
      <c r="A198" s="10" t="s">
        <v>1134</v>
      </c>
      <c r="B198" s="6">
        <v>46017</v>
      </c>
      <c r="C198" s="10" t="s">
        <v>1135</v>
      </c>
      <c r="D198" s="10" t="s">
        <v>634</v>
      </c>
      <c r="E198" s="11">
        <v>436.26</v>
      </c>
      <c r="F198" s="10" t="str">
        <f>IF(tblBank[[#This Row],[Reference]]="","",IFERROR(INDEX(tblLedger[Entry],MATCH(tblBank[[#This Row],[Reference]],tblLedger[Reference],0)),""))</f>
        <v>BNK25-01990</v>
      </c>
      <c r="G19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8" s="10" t="str">
        <f>IF(tblBank[[#This Row],[RefEntry]]&lt;&gt;"",tblBank[[#This Row],[RefEntry]],tblBank[[#This Row],[AmountEntry]])</f>
        <v>BNK25-01990</v>
      </c>
      <c r="I198" s="10" t="str">
        <f>IF(tblBank[[#This Row],[RefEntry]]&lt;&gt;"","Reference",IF(tblBank[[#This Row],[AmountEntry]]&lt;&gt;"","Amount and date","None"))</f>
        <v>Reference</v>
      </c>
      <c r="J198" s="11">
        <f>IF(tblBank[[#This Row],[MatchedEntry]]="","",INDEX(tblLedger[Amount],MATCH(tblBank[[#This Row],[MatchedEntry]],tblLedger[Entry],0)))</f>
        <v>436.26</v>
      </c>
      <c r="K198" s="11">
        <f>IF(tblBank[[#This Row],[MatchedEntry]]="",0,ROUND(tblBank[[#This Row],[Amount]]-tblBank[[#This Row],[BookAmount]],2))</f>
        <v>0</v>
      </c>
      <c r="L198" s="10" t="str">
        <f>IF(tblBank[[#This Row],[MatchedEntry]]="","Not in books",IF(tblBank[[#This Row],[Difference]]&lt;&gt;0,"Amount difference","Matched"))</f>
        <v>Matched</v>
      </c>
      <c r="M19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8" s="10" t="str">
        <f>IF(tblBank[[#This Row],[Status]]="Matched","",COUNTIF(INDEX(tblBank[Status],1):tblBank[[#This Row],[Status]],"&lt;&gt;Matched"))</f>
        <v/>
      </c>
    </row>
    <row r="199" spans="1:15" x14ac:dyDescent="0.25">
      <c r="A199" s="10" t="s">
        <v>1136</v>
      </c>
      <c r="B199" s="6">
        <v>46017</v>
      </c>
      <c r="C199" s="10" t="s">
        <v>1137</v>
      </c>
      <c r="D199" s="10" t="s">
        <v>625</v>
      </c>
      <c r="E199" s="11">
        <v>156.83000000000001</v>
      </c>
      <c r="F199" s="10" t="str">
        <f>IF(tblBank[[#This Row],[Reference]]="","",IFERROR(INDEX(tblLedger[Entry],MATCH(tblBank[[#This Row],[Reference]],tblLedger[Reference],0)),""))</f>
        <v>BNK25-01987</v>
      </c>
      <c r="G19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199" s="10" t="str">
        <f>IF(tblBank[[#This Row],[RefEntry]]&lt;&gt;"",tblBank[[#This Row],[RefEntry]],tblBank[[#This Row],[AmountEntry]])</f>
        <v>BNK25-01987</v>
      </c>
      <c r="I199" s="10" t="str">
        <f>IF(tblBank[[#This Row],[RefEntry]]&lt;&gt;"","Reference",IF(tblBank[[#This Row],[AmountEntry]]&lt;&gt;"","Amount and date","None"))</f>
        <v>Reference</v>
      </c>
      <c r="J199" s="11">
        <f>IF(tblBank[[#This Row],[MatchedEntry]]="","",INDEX(tblLedger[Amount],MATCH(tblBank[[#This Row],[MatchedEntry]],tblLedger[Entry],0)))</f>
        <v>156.83000000000001</v>
      </c>
      <c r="K199" s="11">
        <f>IF(tblBank[[#This Row],[MatchedEntry]]="",0,ROUND(tblBank[[#This Row],[Amount]]-tblBank[[#This Row],[BookAmount]],2))</f>
        <v>0</v>
      </c>
      <c r="L199" s="10" t="str">
        <f>IF(tblBank[[#This Row],[MatchedEntry]]="","Not in books",IF(tblBank[[#This Row],[Difference]]&lt;&gt;0,"Amount difference","Matched"))</f>
        <v>Matched</v>
      </c>
      <c r="M19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19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199" s="10" t="str">
        <f>IF(tblBank[[#This Row],[Status]]="Matched","",COUNTIF(INDEX(tblBank[Status],1):tblBank[[#This Row],[Status]],"&lt;&gt;Matched"))</f>
        <v/>
      </c>
    </row>
    <row r="200" spans="1:15" x14ac:dyDescent="0.25">
      <c r="A200" s="10" t="s">
        <v>1138</v>
      </c>
      <c r="B200" s="6">
        <v>46017</v>
      </c>
      <c r="C200" s="10" t="s">
        <v>1139</v>
      </c>
      <c r="D200" s="10" t="s">
        <v>619</v>
      </c>
      <c r="E200" s="11">
        <v>1379.02</v>
      </c>
      <c r="F200" s="10" t="str">
        <f>IF(tblBank[[#This Row],[Reference]]="","",IFERROR(INDEX(tblLedger[Entry],MATCH(tblBank[[#This Row],[Reference]],tblLedger[Reference],0)),""))</f>
        <v>BNK25-01985</v>
      </c>
      <c r="G20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0" s="10" t="str">
        <f>IF(tblBank[[#This Row],[RefEntry]]&lt;&gt;"",tblBank[[#This Row],[RefEntry]],tblBank[[#This Row],[AmountEntry]])</f>
        <v>BNK25-01985</v>
      </c>
      <c r="I200" s="10" t="str">
        <f>IF(tblBank[[#This Row],[RefEntry]]&lt;&gt;"","Reference",IF(tblBank[[#This Row],[AmountEntry]]&lt;&gt;"","Amount and date","None"))</f>
        <v>Reference</v>
      </c>
      <c r="J200" s="11">
        <f>IF(tblBank[[#This Row],[MatchedEntry]]="","",INDEX(tblLedger[Amount],MATCH(tblBank[[#This Row],[MatchedEntry]],tblLedger[Entry],0)))</f>
        <v>1379.02</v>
      </c>
      <c r="K200" s="11">
        <f>IF(tblBank[[#This Row],[MatchedEntry]]="",0,ROUND(tblBank[[#This Row],[Amount]]-tblBank[[#This Row],[BookAmount]],2))</f>
        <v>0</v>
      </c>
      <c r="L200" s="10" t="str">
        <f>IF(tblBank[[#This Row],[MatchedEntry]]="","Not in books",IF(tblBank[[#This Row],[Difference]]&lt;&gt;0,"Amount difference","Matched"))</f>
        <v>Matched</v>
      </c>
      <c r="M20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0" s="10" t="str">
        <f>IF(tblBank[[#This Row],[Status]]="Matched","",COUNTIF(INDEX(tblBank[Status],1):tblBank[[#This Row],[Status]],"&lt;&gt;Matched"))</f>
        <v/>
      </c>
    </row>
    <row r="201" spans="1:15" x14ac:dyDescent="0.25">
      <c r="A201" s="10" t="s">
        <v>1140</v>
      </c>
      <c r="B201" s="6">
        <v>46017</v>
      </c>
      <c r="C201" s="10" t="s">
        <v>1141</v>
      </c>
      <c r="D201" s="10" t="s">
        <v>640</v>
      </c>
      <c r="E201" s="11">
        <v>5217.8500000000004</v>
      </c>
      <c r="F201" s="10" t="str">
        <f>IF(tblBank[[#This Row],[Reference]]="","",IFERROR(INDEX(tblLedger[Entry],MATCH(tblBank[[#This Row],[Reference]],tblLedger[Reference],0)),""))</f>
        <v>BNK25-01992</v>
      </c>
      <c r="G20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1" s="10" t="str">
        <f>IF(tblBank[[#This Row],[RefEntry]]&lt;&gt;"",tblBank[[#This Row],[RefEntry]],tblBank[[#This Row],[AmountEntry]])</f>
        <v>BNK25-01992</v>
      </c>
      <c r="I201" s="10" t="str">
        <f>IF(tblBank[[#This Row],[RefEntry]]&lt;&gt;"","Reference",IF(tblBank[[#This Row],[AmountEntry]]&lt;&gt;"","Amount and date","None"))</f>
        <v>Reference</v>
      </c>
      <c r="J201" s="11">
        <f>IF(tblBank[[#This Row],[MatchedEntry]]="","",INDEX(tblLedger[Amount],MATCH(tblBank[[#This Row],[MatchedEntry]],tblLedger[Entry],0)))</f>
        <v>5217.8500000000004</v>
      </c>
      <c r="K201" s="11">
        <f>IF(tblBank[[#This Row],[MatchedEntry]]="",0,ROUND(tblBank[[#This Row],[Amount]]-tblBank[[#This Row],[BookAmount]],2))</f>
        <v>0</v>
      </c>
      <c r="L201" s="10" t="str">
        <f>IF(tblBank[[#This Row],[MatchedEntry]]="","Not in books",IF(tblBank[[#This Row],[Difference]]&lt;&gt;0,"Amount difference","Matched"))</f>
        <v>Matched</v>
      </c>
      <c r="M20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1" s="10" t="str">
        <f>IF(tblBank[[#This Row],[Status]]="Matched","",COUNTIF(INDEX(tblBank[Status],1):tblBank[[#This Row],[Status]],"&lt;&gt;Matched"))</f>
        <v/>
      </c>
    </row>
    <row r="202" spans="1:15" x14ac:dyDescent="0.25">
      <c r="A202" s="10" t="s">
        <v>1142</v>
      </c>
      <c r="B202" s="6">
        <v>46017</v>
      </c>
      <c r="C202" s="10" t="s">
        <v>1143</v>
      </c>
      <c r="D202" s="10" t="s">
        <v>610</v>
      </c>
      <c r="E202" s="11">
        <v>364.98</v>
      </c>
      <c r="F202" s="10" t="str">
        <f>IF(tblBank[[#This Row],[Reference]]="","",IFERROR(INDEX(tblLedger[Entry],MATCH(tblBank[[#This Row],[Reference]],tblLedger[Reference],0)),""))</f>
        <v>BNK25-01982</v>
      </c>
      <c r="G20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2" s="10" t="str">
        <f>IF(tblBank[[#This Row],[RefEntry]]&lt;&gt;"",tblBank[[#This Row],[RefEntry]],tblBank[[#This Row],[AmountEntry]])</f>
        <v>BNK25-01982</v>
      </c>
      <c r="I202" s="10" t="str">
        <f>IF(tblBank[[#This Row],[RefEntry]]&lt;&gt;"","Reference",IF(tblBank[[#This Row],[AmountEntry]]&lt;&gt;"","Amount and date","None"))</f>
        <v>Reference</v>
      </c>
      <c r="J202" s="11">
        <f>IF(tblBank[[#This Row],[MatchedEntry]]="","",INDEX(tblLedger[Amount],MATCH(tblBank[[#This Row],[MatchedEntry]],tblLedger[Entry],0)))</f>
        <v>364.98</v>
      </c>
      <c r="K202" s="11">
        <f>IF(tblBank[[#This Row],[MatchedEntry]]="",0,ROUND(tblBank[[#This Row],[Amount]]-tblBank[[#This Row],[BookAmount]],2))</f>
        <v>0</v>
      </c>
      <c r="L202" s="10" t="str">
        <f>IF(tblBank[[#This Row],[MatchedEntry]]="","Not in books",IF(tblBank[[#This Row],[Difference]]&lt;&gt;0,"Amount difference","Matched"))</f>
        <v>Matched</v>
      </c>
      <c r="M20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2" s="10" t="str">
        <f>IF(tblBank[[#This Row],[Status]]="Matched","",COUNTIF(INDEX(tblBank[Status],1):tblBank[[#This Row],[Status]],"&lt;&gt;Matched"))</f>
        <v/>
      </c>
    </row>
    <row r="203" spans="1:15" x14ac:dyDescent="0.25">
      <c r="A203" s="10" t="s">
        <v>1144</v>
      </c>
      <c r="B203" s="6">
        <v>46020</v>
      </c>
      <c r="C203" s="10" t="s">
        <v>1145</v>
      </c>
      <c r="D203" s="10" t="s">
        <v>616</v>
      </c>
      <c r="E203" s="11">
        <v>-551.52</v>
      </c>
      <c r="F203" s="10" t="str">
        <f>IF(tblBank[[#This Row],[Reference]]="","",IFERROR(INDEX(tblLedger[Entry],MATCH(tblBank[[#This Row],[Reference]],tblLedger[Reference],0)),""))</f>
        <v>BNK25-01984</v>
      </c>
      <c r="G20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3" s="10" t="str">
        <f>IF(tblBank[[#This Row],[RefEntry]]&lt;&gt;"",tblBank[[#This Row],[RefEntry]],tblBank[[#This Row],[AmountEntry]])</f>
        <v>BNK25-01984</v>
      </c>
      <c r="I203" s="10" t="str">
        <f>IF(tblBank[[#This Row],[RefEntry]]&lt;&gt;"","Reference",IF(tblBank[[#This Row],[AmountEntry]]&lt;&gt;"","Amount and date","None"))</f>
        <v>Reference</v>
      </c>
      <c r="J203" s="11">
        <f>IF(tblBank[[#This Row],[MatchedEntry]]="","",INDEX(tblLedger[Amount],MATCH(tblBank[[#This Row],[MatchedEntry]],tblLedger[Entry],0)))</f>
        <v>-551.52</v>
      </c>
      <c r="K203" s="11">
        <f>IF(tblBank[[#This Row],[MatchedEntry]]="",0,ROUND(tblBank[[#This Row],[Amount]]-tblBank[[#This Row],[BookAmount]],2))</f>
        <v>0</v>
      </c>
      <c r="L203" s="10" t="str">
        <f>IF(tblBank[[#This Row],[MatchedEntry]]="","Not in books",IF(tblBank[[#This Row],[Difference]]&lt;&gt;0,"Amount difference","Matched"))</f>
        <v>Matched</v>
      </c>
      <c r="M20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3" s="10" t="str">
        <f>IF(tblBank[[#This Row],[Status]]="Matched","",COUNTIF(INDEX(tblBank[Status],1):tblBank[[#This Row],[Status]],"&lt;&gt;Matched"))</f>
        <v/>
      </c>
    </row>
    <row r="204" spans="1:15" x14ac:dyDescent="0.25">
      <c r="A204" s="10" t="s">
        <v>1146</v>
      </c>
      <c r="B204" s="6">
        <v>46020</v>
      </c>
      <c r="C204" s="10" t="s">
        <v>1147</v>
      </c>
      <c r="D204" s="10" t="s">
        <v>655</v>
      </c>
      <c r="E204" s="11">
        <v>2707.88</v>
      </c>
      <c r="F204" s="10" t="str">
        <f>IF(tblBank[[#This Row],[Reference]]="","",IFERROR(INDEX(tblLedger[Entry],MATCH(tblBank[[#This Row],[Reference]],tblLedger[Reference],0)),""))</f>
        <v>BNK25-01997</v>
      </c>
      <c r="G20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4" s="10" t="str">
        <f>IF(tblBank[[#This Row],[RefEntry]]&lt;&gt;"",tblBank[[#This Row],[RefEntry]],tblBank[[#This Row],[AmountEntry]])</f>
        <v>BNK25-01997</v>
      </c>
      <c r="I204" s="10" t="str">
        <f>IF(tblBank[[#This Row],[RefEntry]]&lt;&gt;"","Reference",IF(tblBank[[#This Row],[AmountEntry]]&lt;&gt;"","Amount and date","None"))</f>
        <v>Reference</v>
      </c>
      <c r="J204" s="11">
        <f>IF(tblBank[[#This Row],[MatchedEntry]]="","",INDEX(tblLedger[Amount],MATCH(tblBank[[#This Row],[MatchedEntry]],tblLedger[Entry],0)))</f>
        <v>2707.88</v>
      </c>
      <c r="K204" s="11">
        <f>IF(tblBank[[#This Row],[MatchedEntry]]="",0,ROUND(tblBank[[#This Row],[Amount]]-tblBank[[#This Row],[BookAmount]],2))</f>
        <v>0</v>
      </c>
      <c r="L204" s="10" t="str">
        <f>IF(tblBank[[#This Row],[MatchedEntry]]="","Not in books",IF(tblBank[[#This Row],[Difference]]&lt;&gt;0,"Amount difference","Matched"))</f>
        <v>Matched</v>
      </c>
      <c r="M20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4" s="10" t="str">
        <f>IF(tblBank[[#This Row],[Status]]="Matched","",COUNTIF(INDEX(tblBank[Status],1):tblBank[[#This Row],[Status]],"&lt;&gt;Matched"))</f>
        <v/>
      </c>
    </row>
    <row r="205" spans="1:15" x14ac:dyDescent="0.25">
      <c r="A205" s="10" t="s">
        <v>1148</v>
      </c>
      <c r="B205" s="6">
        <v>46020</v>
      </c>
      <c r="C205" s="10" t="s">
        <v>1149</v>
      </c>
      <c r="D205" s="10" t="s">
        <v>667</v>
      </c>
      <c r="E205" s="11">
        <v>2278.8000000000002</v>
      </c>
      <c r="F205" s="10" t="str">
        <f>IF(tblBank[[#This Row],[Reference]]="","",IFERROR(INDEX(tblLedger[Entry],MATCH(tblBank[[#This Row],[Reference]],tblLedger[Reference],0)),""))</f>
        <v>BNK25-02001</v>
      </c>
      <c r="G20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5" s="10" t="str">
        <f>IF(tblBank[[#This Row],[RefEntry]]&lt;&gt;"",tblBank[[#This Row],[RefEntry]],tblBank[[#This Row],[AmountEntry]])</f>
        <v>BNK25-02001</v>
      </c>
      <c r="I205" s="10" t="str">
        <f>IF(tblBank[[#This Row],[RefEntry]]&lt;&gt;"","Reference",IF(tblBank[[#This Row],[AmountEntry]]&lt;&gt;"","Amount and date","None"))</f>
        <v>Reference</v>
      </c>
      <c r="J205" s="11">
        <f>IF(tblBank[[#This Row],[MatchedEntry]]="","",INDEX(tblLedger[Amount],MATCH(tblBank[[#This Row],[MatchedEntry]],tblLedger[Entry],0)))</f>
        <v>2278.8000000000002</v>
      </c>
      <c r="K205" s="11">
        <f>IF(tblBank[[#This Row],[MatchedEntry]]="",0,ROUND(tblBank[[#This Row],[Amount]]-tblBank[[#This Row],[BookAmount]],2))</f>
        <v>0</v>
      </c>
      <c r="L205" s="10" t="str">
        <f>IF(tblBank[[#This Row],[MatchedEntry]]="","Not in books",IF(tblBank[[#This Row],[Difference]]&lt;&gt;0,"Amount difference","Matched"))</f>
        <v>Matched</v>
      </c>
      <c r="M20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5" s="10" t="str">
        <f>IF(tblBank[[#This Row],[Status]]="Matched","",COUNTIF(INDEX(tblBank[Status],1):tblBank[[#This Row],[Status]],"&lt;&gt;Matched"))</f>
        <v/>
      </c>
    </row>
    <row r="206" spans="1:15" x14ac:dyDescent="0.25">
      <c r="A206" s="10" t="s">
        <v>1150</v>
      </c>
      <c r="B206" s="6">
        <v>46020</v>
      </c>
      <c r="C206" s="10" t="s">
        <v>1151</v>
      </c>
      <c r="D206" s="10" t="s">
        <v>673</v>
      </c>
      <c r="E206" s="11">
        <v>59.17</v>
      </c>
      <c r="F206" s="10" t="str">
        <f>IF(tblBank[[#This Row],[Reference]]="","",IFERROR(INDEX(tblLedger[Entry],MATCH(tblBank[[#This Row],[Reference]],tblLedger[Reference],0)),""))</f>
        <v>BNK25-02003</v>
      </c>
      <c r="G20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6" s="10" t="str">
        <f>IF(tblBank[[#This Row],[RefEntry]]&lt;&gt;"",tblBank[[#This Row],[RefEntry]],tblBank[[#This Row],[AmountEntry]])</f>
        <v>BNK25-02003</v>
      </c>
      <c r="I206" s="10" t="str">
        <f>IF(tblBank[[#This Row],[RefEntry]]&lt;&gt;"","Reference",IF(tblBank[[#This Row],[AmountEntry]]&lt;&gt;"","Amount and date","None"))</f>
        <v>Reference</v>
      </c>
      <c r="J206" s="11">
        <f>IF(tblBank[[#This Row],[MatchedEntry]]="","",INDEX(tblLedger[Amount],MATCH(tblBank[[#This Row],[MatchedEntry]],tblLedger[Entry],0)))</f>
        <v>59.17</v>
      </c>
      <c r="K206" s="11">
        <f>IF(tblBank[[#This Row],[MatchedEntry]]="",0,ROUND(tblBank[[#This Row],[Amount]]-tblBank[[#This Row],[BookAmount]],2))</f>
        <v>0</v>
      </c>
      <c r="L206" s="10" t="str">
        <f>IF(tblBank[[#This Row],[MatchedEntry]]="","Not in books",IF(tblBank[[#This Row],[Difference]]&lt;&gt;0,"Amount difference","Matched"))</f>
        <v>Matched</v>
      </c>
      <c r="M20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6" s="10" t="str">
        <f>IF(tblBank[[#This Row],[Status]]="Matched","",COUNTIF(INDEX(tblBank[Status],1):tblBank[[#This Row],[Status]],"&lt;&gt;Matched"))</f>
        <v/>
      </c>
    </row>
    <row r="207" spans="1:15" x14ac:dyDescent="0.25">
      <c r="A207" s="10" t="s">
        <v>1152</v>
      </c>
      <c r="B207" s="6">
        <v>46020</v>
      </c>
      <c r="C207" s="10" t="s">
        <v>1153</v>
      </c>
      <c r="D207" s="10" t="s">
        <v>649</v>
      </c>
      <c r="E207" s="11">
        <v>1945.51</v>
      </c>
      <c r="F207" s="10" t="str">
        <f>IF(tblBank[[#This Row],[Reference]]="","",IFERROR(INDEX(tblLedger[Entry],MATCH(tblBank[[#This Row],[Reference]],tblLedger[Reference],0)),""))</f>
        <v>BNK25-01995</v>
      </c>
      <c r="G20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7" s="10" t="str">
        <f>IF(tblBank[[#This Row],[RefEntry]]&lt;&gt;"",tblBank[[#This Row],[RefEntry]],tblBank[[#This Row],[AmountEntry]])</f>
        <v>BNK25-01995</v>
      </c>
      <c r="I207" s="10" t="str">
        <f>IF(tblBank[[#This Row],[RefEntry]]&lt;&gt;"","Reference",IF(tblBank[[#This Row],[AmountEntry]]&lt;&gt;"","Amount and date","None"))</f>
        <v>Reference</v>
      </c>
      <c r="J207" s="11">
        <f>IF(tblBank[[#This Row],[MatchedEntry]]="","",INDEX(tblLedger[Amount],MATCH(tblBank[[#This Row],[MatchedEntry]],tblLedger[Entry],0)))</f>
        <v>1945.51</v>
      </c>
      <c r="K207" s="11">
        <f>IF(tblBank[[#This Row],[MatchedEntry]]="",0,ROUND(tblBank[[#This Row],[Amount]]-tblBank[[#This Row],[BookAmount]],2))</f>
        <v>0</v>
      </c>
      <c r="L207" s="10" t="str">
        <f>IF(tblBank[[#This Row],[MatchedEntry]]="","Not in books",IF(tblBank[[#This Row],[Difference]]&lt;&gt;0,"Amount difference","Matched"))</f>
        <v>Matched</v>
      </c>
      <c r="M20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7" s="10" t="str">
        <f>IF(tblBank[[#This Row],[Status]]="Matched","",COUNTIF(INDEX(tblBank[Status],1):tblBank[[#This Row],[Status]],"&lt;&gt;Matched"))</f>
        <v/>
      </c>
    </row>
    <row r="208" spans="1:15" x14ac:dyDescent="0.25">
      <c r="A208" s="10" t="s">
        <v>1154</v>
      </c>
      <c r="B208" s="6">
        <v>46020</v>
      </c>
      <c r="C208" s="10" t="s">
        <v>1155</v>
      </c>
      <c r="D208" s="10" t="s">
        <v>700</v>
      </c>
      <c r="E208" s="11">
        <v>970.92</v>
      </c>
      <c r="F208" s="10" t="str">
        <f>IF(tblBank[[#This Row],[Reference]]="","",IFERROR(INDEX(tblLedger[Entry],MATCH(tblBank[[#This Row],[Reference]],tblLedger[Reference],0)),""))</f>
        <v>BNK25-02012</v>
      </c>
      <c r="G20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8" s="10" t="str">
        <f>IF(tblBank[[#This Row],[RefEntry]]&lt;&gt;"",tblBank[[#This Row],[RefEntry]],tblBank[[#This Row],[AmountEntry]])</f>
        <v>BNK25-02012</v>
      </c>
      <c r="I208" s="10" t="str">
        <f>IF(tblBank[[#This Row],[RefEntry]]&lt;&gt;"","Reference",IF(tblBank[[#This Row],[AmountEntry]]&lt;&gt;"","Amount and date","None"))</f>
        <v>Reference</v>
      </c>
      <c r="J208" s="11">
        <f>IF(tblBank[[#This Row],[MatchedEntry]]="","",INDEX(tblLedger[Amount],MATCH(tblBank[[#This Row],[MatchedEntry]],tblLedger[Entry],0)))</f>
        <v>970.92</v>
      </c>
      <c r="K208" s="11">
        <f>IF(tblBank[[#This Row],[MatchedEntry]]="",0,ROUND(tblBank[[#This Row],[Amount]]-tblBank[[#This Row],[BookAmount]],2))</f>
        <v>0</v>
      </c>
      <c r="L208" s="10" t="str">
        <f>IF(tblBank[[#This Row],[MatchedEntry]]="","Not in books",IF(tblBank[[#This Row],[Difference]]&lt;&gt;0,"Amount difference","Matched"))</f>
        <v>Matched</v>
      </c>
      <c r="M20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8" s="10" t="str">
        <f>IF(tblBank[[#This Row],[Status]]="Matched","",COUNTIF(INDEX(tblBank[Status],1):tblBank[[#This Row],[Status]],"&lt;&gt;Matched"))</f>
        <v/>
      </c>
    </row>
    <row r="209" spans="1:15" x14ac:dyDescent="0.25">
      <c r="A209" s="10" t="s">
        <v>1156</v>
      </c>
      <c r="B209" s="6">
        <v>46020</v>
      </c>
      <c r="C209" s="10" t="s">
        <v>1157</v>
      </c>
      <c r="D209" s="10" t="s">
        <v>691</v>
      </c>
      <c r="E209" s="11">
        <v>2719.31</v>
      </c>
      <c r="F209" s="10" t="str">
        <f>IF(tblBank[[#This Row],[Reference]]="","",IFERROR(INDEX(tblLedger[Entry],MATCH(tblBank[[#This Row],[Reference]],tblLedger[Reference],0)),""))</f>
        <v>BNK25-02009</v>
      </c>
      <c r="G20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09" s="10" t="str">
        <f>IF(tblBank[[#This Row],[RefEntry]]&lt;&gt;"",tblBank[[#This Row],[RefEntry]],tblBank[[#This Row],[AmountEntry]])</f>
        <v>BNK25-02009</v>
      </c>
      <c r="I209" s="10" t="str">
        <f>IF(tblBank[[#This Row],[RefEntry]]&lt;&gt;"","Reference",IF(tblBank[[#This Row],[AmountEntry]]&lt;&gt;"","Amount and date","None"))</f>
        <v>Reference</v>
      </c>
      <c r="J209" s="11">
        <f>IF(tblBank[[#This Row],[MatchedEntry]]="","",INDEX(tblLedger[Amount],MATCH(tblBank[[#This Row],[MatchedEntry]],tblLedger[Entry],0)))</f>
        <v>2719.31</v>
      </c>
      <c r="K209" s="11">
        <f>IF(tblBank[[#This Row],[MatchedEntry]]="",0,ROUND(tblBank[[#This Row],[Amount]]-tblBank[[#This Row],[BookAmount]],2))</f>
        <v>0</v>
      </c>
      <c r="L209" s="10" t="str">
        <f>IF(tblBank[[#This Row],[MatchedEntry]]="","Not in books",IF(tblBank[[#This Row],[Difference]]&lt;&gt;0,"Amount difference","Matched"))</f>
        <v>Matched</v>
      </c>
      <c r="M20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0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09" s="10" t="str">
        <f>IF(tblBank[[#This Row],[Status]]="Matched","",COUNTIF(INDEX(tblBank[Status],1):tblBank[[#This Row],[Status]],"&lt;&gt;Matched"))</f>
        <v/>
      </c>
    </row>
    <row r="210" spans="1:15" x14ac:dyDescent="0.25">
      <c r="A210" s="10" t="s">
        <v>1158</v>
      </c>
      <c r="B210" s="6">
        <v>46020</v>
      </c>
      <c r="C210" s="10" t="s">
        <v>1159</v>
      </c>
      <c r="D210" s="10" t="s">
        <v>661</v>
      </c>
      <c r="E210" s="11">
        <v>3383.44</v>
      </c>
      <c r="F210" s="10" t="str">
        <f>IF(tblBank[[#This Row],[Reference]]="","",IFERROR(INDEX(tblLedger[Entry],MATCH(tblBank[[#This Row],[Reference]],tblLedger[Reference],0)),""))</f>
        <v>BNK25-01999</v>
      </c>
      <c r="G21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0" s="10" t="str">
        <f>IF(tblBank[[#This Row],[RefEntry]]&lt;&gt;"",tblBank[[#This Row],[RefEntry]],tblBank[[#This Row],[AmountEntry]])</f>
        <v>BNK25-01999</v>
      </c>
      <c r="I210" s="10" t="str">
        <f>IF(tblBank[[#This Row],[RefEntry]]&lt;&gt;"","Reference",IF(tblBank[[#This Row],[AmountEntry]]&lt;&gt;"","Amount and date","None"))</f>
        <v>Reference</v>
      </c>
      <c r="J210" s="11">
        <f>IF(tblBank[[#This Row],[MatchedEntry]]="","",INDEX(tblLedger[Amount],MATCH(tblBank[[#This Row],[MatchedEntry]],tblLedger[Entry],0)))</f>
        <v>3383.44</v>
      </c>
      <c r="K210" s="11">
        <f>IF(tblBank[[#This Row],[MatchedEntry]]="",0,ROUND(tblBank[[#This Row],[Amount]]-tblBank[[#This Row],[BookAmount]],2))</f>
        <v>0</v>
      </c>
      <c r="L210" s="10" t="str">
        <f>IF(tblBank[[#This Row],[MatchedEntry]]="","Not in books",IF(tblBank[[#This Row],[Difference]]&lt;&gt;0,"Amount difference","Matched"))</f>
        <v>Matched</v>
      </c>
      <c r="M21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0" s="10" t="str">
        <f>IF(tblBank[[#This Row],[Status]]="Matched","",COUNTIF(INDEX(tblBank[Status],1):tblBank[[#This Row],[Status]],"&lt;&gt;Matched"))</f>
        <v/>
      </c>
    </row>
    <row r="211" spans="1:15" x14ac:dyDescent="0.25">
      <c r="A211" s="10" t="s">
        <v>1160</v>
      </c>
      <c r="B211" s="6">
        <v>46020</v>
      </c>
      <c r="C211" s="10" t="s">
        <v>1161</v>
      </c>
      <c r="D211" s="10" t="s">
        <v>652</v>
      </c>
      <c r="E211" s="11">
        <v>546.01</v>
      </c>
      <c r="F211" s="10" t="str">
        <f>IF(tblBank[[#This Row],[Reference]]="","",IFERROR(INDEX(tblLedger[Entry],MATCH(tblBank[[#This Row],[Reference]],tblLedger[Reference],0)),""))</f>
        <v>BNK25-01996</v>
      </c>
      <c r="G21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1" s="10" t="str">
        <f>IF(tblBank[[#This Row],[RefEntry]]&lt;&gt;"",tblBank[[#This Row],[RefEntry]],tblBank[[#This Row],[AmountEntry]])</f>
        <v>BNK25-01996</v>
      </c>
      <c r="I211" s="10" t="str">
        <f>IF(tblBank[[#This Row],[RefEntry]]&lt;&gt;"","Reference",IF(tblBank[[#This Row],[AmountEntry]]&lt;&gt;"","Amount and date","None"))</f>
        <v>Reference</v>
      </c>
      <c r="J211" s="11">
        <f>IF(tblBank[[#This Row],[MatchedEntry]]="","",INDEX(tblLedger[Amount],MATCH(tblBank[[#This Row],[MatchedEntry]],tblLedger[Entry],0)))</f>
        <v>546.01</v>
      </c>
      <c r="K211" s="11">
        <f>IF(tblBank[[#This Row],[MatchedEntry]]="",0,ROUND(tblBank[[#This Row],[Amount]]-tblBank[[#This Row],[BookAmount]],2))</f>
        <v>0</v>
      </c>
      <c r="L211" s="10" t="str">
        <f>IF(tblBank[[#This Row],[MatchedEntry]]="","Not in books",IF(tblBank[[#This Row],[Difference]]&lt;&gt;0,"Amount difference","Matched"))</f>
        <v>Matched</v>
      </c>
      <c r="M21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1" s="10" t="str">
        <f>IF(tblBank[[#This Row],[Status]]="Matched","",COUNTIF(INDEX(tblBank[Status],1):tblBank[[#This Row],[Status]],"&lt;&gt;Matched"))</f>
        <v/>
      </c>
    </row>
    <row r="212" spans="1:15" x14ac:dyDescent="0.25">
      <c r="A212" s="10" t="s">
        <v>1162</v>
      </c>
      <c r="B212" s="6">
        <v>46020</v>
      </c>
      <c r="C212" s="10" t="s">
        <v>1163</v>
      </c>
      <c r="D212" s="10" t="s">
        <v>806</v>
      </c>
      <c r="E212" s="11">
        <v>934.69</v>
      </c>
      <c r="F212" s="10" t="str">
        <f>IF(tblBank[[#This Row],[Reference]]="","",IFERROR(INDEX(tblLedger[Entry],MATCH(tblBank[[#This Row],[Reference]],tblLedger[Reference],0)),""))</f>
        <v/>
      </c>
      <c r="G21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BNK25-02002</v>
      </c>
      <c r="H212" s="10" t="str">
        <f>IF(tblBank[[#This Row],[RefEntry]]&lt;&gt;"",tblBank[[#This Row],[RefEntry]],tblBank[[#This Row],[AmountEntry]])</f>
        <v>BNK25-02002</v>
      </c>
      <c r="I212" s="10" t="str">
        <f>IF(tblBank[[#This Row],[RefEntry]]&lt;&gt;"","Reference",IF(tblBank[[#This Row],[AmountEntry]]&lt;&gt;"","Amount and date","None"))</f>
        <v>Amount and date</v>
      </c>
      <c r="J212" s="11">
        <f>IF(tblBank[[#This Row],[MatchedEntry]]="","",INDEX(tblLedger[Amount],MATCH(tblBank[[#This Row],[MatchedEntry]],tblLedger[Entry],0)))</f>
        <v>934.69</v>
      </c>
      <c r="K212" s="11">
        <f>IF(tblBank[[#This Row],[MatchedEntry]]="",0,ROUND(tblBank[[#This Row],[Amount]]-tblBank[[#This Row],[BookAmount]],2))</f>
        <v>0</v>
      </c>
      <c r="L212" s="10" t="str">
        <f>IF(tblBank[[#This Row],[MatchedEntry]]="","Not in books",IF(tblBank[[#This Row],[Difference]]&lt;&gt;0,"Amount difference","Matched"))</f>
        <v>Matched</v>
      </c>
      <c r="M21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2" s="10" t="str">
        <f>IF(tblBank[[#This Row],[Status]]="Matched","",COUNTIF(INDEX(tblBank[Status],1):tblBank[[#This Row],[Status]],"&lt;&gt;Matched"))</f>
        <v/>
      </c>
    </row>
    <row r="213" spans="1:15" x14ac:dyDescent="0.25">
      <c r="A213" s="10" t="s">
        <v>1164</v>
      </c>
      <c r="B213" s="6">
        <v>46020</v>
      </c>
      <c r="C213" s="10" t="s">
        <v>1165</v>
      </c>
      <c r="D213" s="10" t="s">
        <v>697</v>
      </c>
      <c r="E213" s="11">
        <v>1060.1500000000001</v>
      </c>
      <c r="F213" s="10" t="str">
        <f>IF(tblBank[[#This Row],[Reference]]="","",IFERROR(INDEX(tblLedger[Entry],MATCH(tblBank[[#This Row],[Reference]],tblLedger[Reference],0)),""))</f>
        <v>BNK25-02011</v>
      </c>
      <c r="G21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3" s="10" t="str">
        <f>IF(tblBank[[#This Row],[RefEntry]]&lt;&gt;"",tblBank[[#This Row],[RefEntry]],tblBank[[#This Row],[AmountEntry]])</f>
        <v>BNK25-02011</v>
      </c>
      <c r="I213" s="10" t="str">
        <f>IF(tblBank[[#This Row],[RefEntry]]&lt;&gt;"","Reference",IF(tblBank[[#This Row],[AmountEntry]]&lt;&gt;"","Amount and date","None"))</f>
        <v>Reference</v>
      </c>
      <c r="J213" s="11">
        <f>IF(tblBank[[#This Row],[MatchedEntry]]="","",INDEX(tblLedger[Amount],MATCH(tblBank[[#This Row],[MatchedEntry]],tblLedger[Entry],0)))</f>
        <v>1060.1500000000001</v>
      </c>
      <c r="K213" s="11">
        <f>IF(tblBank[[#This Row],[MatchedEntry]]="",0,ROUND(tblBank[[#This Row],[Amount]]-tblBank[[#This Row],[BookAmount]],2))</f>
        <v>0</v>
      </c>
      <c r="L213" s="10" t="str">
        <f>IF(tblBank[[#This Row],[MatchedEntry]]="","Not in books",IF(tblBank[[#This Row],[Difference]]&lt;&gt;0,"Amount difference","Matched"))</f>
        <v>Matched</v>
      </c>
      <c r="M21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3" s="10" t="str">
        <f>IF(tblBank[[#This Row],[Status]]="Matched","",COUNTIF(INDEX(tblBank[Status],1):tblBank[[#This Row],[Status]],"&lt;&gt;Matched"))</f>
        <v/>
      </c>
    </row>
    <row r="214" spans="1:15" x14ac:dyDescent="0.25">
      <c r="A214" s="10" t="s">
        <v>1166</v>
      </c>
      <c r="B214" s="6">
        <v>46020</v>
      </c>
      <c r="C214" s="10" t="s">
        <v>1167</v>
      </c>
      <c r="D214" s="10" t="s">
        <v>664</v>
      </c>
      <c r="E214" s="11">
        <v>3581.98</v>
      </c>
      <c r="F214" s="10" t="str">
        <f>IF(tblBank[[#This Row],[Reference]]="","",IFERROR(INDEX(tblLedger[Entry],MATCH(tblBank[[#This Row],[Reference]],tblLedger[Reference],0)),""))</f>
        <v>BNK25-02000</v>
      </c>
      <c r="G21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4" s="10" t="str">
        <f>IF(tblBank[[#This Row],[RefEntry]]&lt;&gt;"",tblBank[[#This Row],[RefEntry]],tblBank[[#This Row],[AmountEntry]])</f>
        <v>BNK25-02000</v>
      </c>
      <c r="I214" s="10" t="str">
        <f>IF(tblBank[[#This Row],[RefEntry]]&lt;&gt;"","Reference",IF(tblBank[[#This Row],[AmountEntry]]&lt;&gt;"","Amount and date","None"))</f>
        <v>Reference</v>
      </c>
      <c r="J214" s="11">
        <f>IF(tblBank[[#This Row],[MatchedEntry]]="","",INDEX(tblLedger[Amount],MATCH(tblBank[[#This Row],[MatchedEntry]],tblLedger[Entry],0)))</f>
        <v>3581.98</v>
      </c>
      <c r="K214" s="11">
        <f>IF(tblBank[[#This Row],[MatchedEntry]]="",0,ROUND(tblBank[[#This Row],[Amount]]-tblBank[[#This Row],[BookAmount]],2))</f>
        <v>0</v>
      </c>
      <c r="L214" s="10" t="str">
        <f>IF(tblBank[[#This Row],[MatchedEntry]]="","Not in books",IF(tblBank[[#This Row],[Difference]]&lt;&gt;0,"Amount difference","Matched"))</f>
        <v>Matched</v>
      </c>
      <c r="M21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4" s="10" t="str">
        <f>IF(tblBank[[#This Row],[Status]]="Matched","",COUNTIF(INDEX(tblBank[Status],1):tblBank[[#This Row],[Status]],"&lt;&gt;Matched"))</f>
        <v/>
      </c>
    </row>
    <row r="215" spans="1:15" x14ac:dyDescent="0.25">
      <c r="A215" s="10" t="s">
        <v>1168</v>
      </c>
      <c r="B215" s="6">
        <v>46020</v>
      </c>
      <c r="C215" s="10" t="s">
        <v>1169</v>
      </c>
      <c r="D215" s="10" t="s">
        <v>682</v>
      </c>
      <c r="E215" s="11">
        <v>1272.97</v>
      </c>
      <c r="F215" s="10" t="str">
        <f>IF(tblBank[[#This Row],[Reference]]="","",IFERROR(INDEX(tblLedger[Entry],MATCH(tblBank[[#This Row],[Reference]],tblLedger[Reference],0)),""))</f>
        <v>BNK25-02006</v>
      </c>
      <c r="G21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5" s="10" t="str">
        <f>IF(tblBank[[#This Row],[RefEntry]]&lt;&gt;"",tblBank[[#This Row],[RefEntry]],tblBank[[#This Row],[AmountEntry]])</f>
        <v>BNK25-02006</v>
      </c>
      <c r="I215" s="10" t="str">
        <f>IF(tblBank[[#This Row],[RefEntry]]&lt;&gt;"","Reference",IF(tblBank[[#This Row],[AmountEntry]]&lt;&gt;"","Amount and date","None"))</f>
        <v>Reference</v>
      </c>
      <c r="J215" s="11">
        <f>IF(tblBank[[#This Row],[MatchedEntry]]="","",INDEX(tblLedger[Amount],MATCH(tblBank[[#This Row],[MatchedEntry]],tblLedger[Entry],0)))</f>
        <v>1272.97</v>
      </c>
      <c r="K215" s="11">
        <f>IF(tblBank[[#This Row],[MatchedEntry]]="",0,ROUND(tblBank[[#This Row],[Amount]]-tblBank[[#This Row],[BookAmount]],2))</f>
        <v>0</v>
      </c>
      <c r="L215" s="10" t="str">
        <f>IF(tblBank[[#This Row],[MatchedEntry]]="","Not in books",IF(tblBank[[#This Row],[Difference]]&lt;&gt;0,"Amount difference","Matched"))</f>
        <v>Matched</v>
      </c>
      <c r="M21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5" s="10" t="str">
        <f>IF(tblBank[[#This Row],[Status]]="Matched","",COUNTIF(INDEX(tblBank[Status],1):tblBank[[#This Row],[Status]],"&lt;&gt;Matched"))</f>
        <v/>
      </c>
    </row>
    <row r="216" spans="1:15" x14ac:dyDescent="0.25">
      <c r="A216" s="10" t="s">
        <v>1170</v>
      </c>
      <c r="B216" s="6">
        <v>46020</v>
      </c>
      <c r="C216" s="10" t="s">
        <v>1171</v>
      </c>
      <c r="D216" s="10" t="s">
        <v>679</v>
      </c>
      <c r="E216" s="11">
        <v>974.48</v>
      </c>
      <c r="F216" s="10" t="str">
        <f>IF(tblBank[[#This Row],[Reference]]="","",IFERROR(INDEX(tblLedger[Entry],MATCH(tblBank[[#This Row],[Reference]],tblLedger[Reference],0)),""))</f>
        <v>BNK25-02005</v>
      </c>
      <c r="G21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6" s="10" t="str">
        <f>IF(tblBank[[#This Row],[RefEntry]]&lt;&gt;"",tblBank[[#This Row],[RefEntry]],tblBank[[#This Row],[AmountEntry]])</f>
        <v>BNK25-02005</v>
      </c>
      <c r="I216" s="10" t="str">
        <f>IF(tblBank[[#This Row],[RefEntry]]&lt;&gt;"","Reference",IF(tblBank[[#This Row],[AmountEntry]]&lt;&gt;"","Amount and date","None"))</f>
        <v>Reference</v>
      </c>
      <c r="J216" s="11">
        <f>IF(tblBank[[#This Row],[MatchedEntry]]="","",INDEX(tblLedger[Amount],MATCH(tblBank[[#This Row],[MatchedEntry]],tblLedger[Entry],0)))</f>
        <v>974.48</v>
      </c>
      <c r="K216" s="11">
        <f>IF(tblBank[[#This Row],[MatchedEntry]]="",0,ROUND(tblBank[[#This Row],[Amount]]-tblBank[[#This Row],[BookAmount]],2))</f>
        <v>0</v>
      </c>
      <c r="L216" s="10" t="str">
        <f>IF(tblBank[[#This Row],[MatchedEntry]]="","Not in books",IF(tblBank[[#This Row],[Difference]]&lt;&gt;0,"Amount difference","Matched"))</f>
        <v>Matched</v>
      </c>
      <c r="M21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6" s="10" t="str">
        <f>IF(tblBank[[#This Row],[Status]]="Matched","",COUNTIF(INDEX(tblBank[Status],1):tblBank[[#This Row],[Status]],"&lt;&gt;Matched"))</f>
        <v/>
      </c>
    </row>
    <row r="217" spans="1:15" x14ac:dyDescent="0.25">
      <c r="A217" s="10" t="s">
        <v>1172</v>
      </c>
      <c r="B217" s="6">
        <v>46020</v>
      </c>
      <c r="C217" s="10" t="s">
        <v>1173</v>
      </c>
      <c r="D217" s="10" t="s">
        <v>688</v>
      </c>
      <c r="E217" s="11">
        <v>334.69</v>
      </c>
      <c r="F217" s="10" t="str">
        <f>IF(tblBank[[#This Row],[Reference]]="","",IFERROR(INDEX(tblLedger[Entry],MATCH(tblBank[[#This Row],[Reference]],tblLedger[Reference],0)),""))</f>
        <v>BNK25-02008</v>
      </c>
      <c r="G21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7" s="10" t="str">
        <f>IF(tblBank[[#This Row],[RefEntry]]&lt;&gt;"",tblBank[[#This Row],[RefEntry]],tblBank[[#This Row],[AmountEntry]])</f>
        <v>BNK25-02008</v>
      </c>
      <c r="I217" s="10" t="str">
        <f>IF(tblBank[[#This Row],[RefEntry]]&lt;&gt;"","Reference",IF(tblBank[[#This Row],[AmountEntry]]&lt;&gt;"","Amount and date","None"))</f>
        <v>Reference</v>
      </c>
      <c r="J217" s="11">
        <f>IF(tblBank[[#This Row],[MatchedEntry]]="","",INDEX(tblLedger[Amount],MATCH(tblBank[[#This Row],[MatchedEntry]],tblLedger[Entry],0)))</f>
        <v>334.69</v>
      </c>
      <c r="K217" s="11">
        <f>IF(tblBank[[#This Row],[MatchedEntry]]="",0,ROUND(tblBank[[#This Row],[Amount]]-tblBank[[#This Row],[BookAmount]],2))</f>
        <v>0</v>
      </c>
      <c r="L217" s="10" t="str">
        <f>IF(tblBank[[#This Row],[MatchedEntry]]="","Not in books",IF(tblBank[[#This Row],[Difference]]&lt;&gt;0,"Amount difference","Matched"))</f>
        <v>Matched</v>
      </c>
      <c r="M21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7" s="10" t="str">
        <f>IF(tblBank[[#This Row],[Status]]="Matched","",COUNTIF(INDEX(tblBank[Status],1):tblBank[[#This Row],[Status]],"&lt;&gt;Matched"))</f>
        <v/>
      </c>
    </row>
    <row r="218" spans="1:15" x14ac:dyDescent="0.25">
      <c r="A218" s="10" t="s">
        <v>1174</v>
      </c>
      <c r="B218" s="6">
        <v>46021</v>
      </c>
      <c r="C218" s="10" t="s">
        <v>1175</v>
      </c>
      <c r="D218" s="10" t="s">
        <v>676</v>
      </c>
      <c r="E218" s="11">
        <v>-2377.44</v>
      </c>
      <c r="F218" s="10" t="str">
        <f>IF(tblBank[[#This Row],[Reference]]="","",IFERROR(INDEX(tblLedger[Entry],MATCH(tblBank[[#This Row],[Reference]],tblLedger[Reference],0)),""))</f>
        <v>BNK25-02004</v>
      </c>
      <c r="G21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8" s="10" t="str">
        <f>IF(tblBank[[#This Row],[RefEntry]]&lt;&gt;"",tblBank[[#This Row],[RefEntry]],tblBank[[#This Row],[AmountEntry]])</f>
        <v>BNK25-02004</v>
      </c>
      <c r="I218" s="10" t="str">
        <f>IF(tblBank[[#This Row],[RefEntry]]&lt;&gt;"","Reference",IF(tblBank[[#This Row],[AmountEntry]]&lt;&gt;"","Amount and date","None"))</f>
        <v>Reference</v>
      </c>
      <c r="J218" s="11">
        <f>IF(tblBank[[#This Row],[MatchedEntry]]="","",INDEX(tblLedger[Amount],MATCH(tblBank[[#This Row],[MatchedEntry]],tblLedger[Entry],0)))</f>
        <v>-2377.44</v>
      </c>
      <c r="K218" s="11">
        <f>IF(tblBank[[#This Row],[MatchedEntry]]="",0,ROUND(tblBank[[#This Row],[Amount]]-tblBank[[#This Row],[BookAmount]],2))</f>
        <v>0</v>
      </c>
      <c r="L218" s="10" t="str">
        <f>IF(tblBank[[#This Row],[MatchedEntry]]="","Not in books",IF(tblBank[[#This Row],[Difference]]&lt;&gt;0,"Amount difference","Matched"))</f>
        <v>Matched</v>
      </c>
      <c r="M21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8" s="10" t="str">
        <f>IF(tblBank[[#This Row],[Status]]="Matched","",COUNTIF(INDEX(tblBank[Status],1):tblBank[[#This Row],[Status]],"&lt;&gt;Matched"))</f>
        <v/>
      </c>
    </row>
    <row r="219" spans="1:15" x14ac:dyDescent="0.25">
      <c r="A219" s="10" t="s">
        <v>1176</v>
      </c>
      <c r="B219" s="6">
        <v>46021</v>
      </c>
      <c r="C219" s="10" t="s">
        <v>1177</v>
      </c>
      <c r="D219" s="10" t="s">
        <v>631</v>
      </c>
      <c r="E219" s="11">
        <v>-1035.4000000000001</v>
      </c>
      <c r="F219" s="10" t="str">
        <f>IF(tblBank[[#This Row],[Reference]]="","",IFERROR(INDEX(tblLedger[Entry],MATCH(tblBank[[#This Row],[Reference]],tblLedger[Reference],0)),""))</f>
        <v>BNK25-01989</v>
      </c>
      <c r="G21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19" s="10" t="str">
        <f>IF(tblBank[[#This Row],[RefEntry]]&lt;&gt;"",tblBank[[#This Row],[RefEntry]],tblBank[[#This Row],[AmountEntry]])</f>
        <v>BNK25-01989</v>
      </c>
      <c r="I219" s="10" t="str">
        <f>IF(tblBank[[#This Row],[RefEntry]]&lt;&gt;"","Reference",IF(tblBank[[#This Row],[AmountEntry]]&lt;&gt;"","Amount and date","None"))</f>
        <v>Reference</v>
      </c>
      <c r="J219" s="11">
        <f>IF(tblBank[[#This Row],[MatchedEntry]]="","",INDEX(tblLedger[Amount],MATCH(tblBank[[#This Row],[MatchedEntry]],tblLedger[Entry],0)))</f>
        <v>-1035.4000000000001</v>
      </c>
      <c r="K219" s="11">
        <f>IF(tblBank[[#This Row],[MatchedEntry]]="",0,ROUND(tblBank[[#This Row],[Amount]]-tblBank[[#This Row],[BookAmount]],2))</f>
        <v>0</v>
      </c>
      <c r="L219" s="10" t="str">
        <f>IF(tblBank[[#This Row],[MatchedEntry]]="","Not in books",IF(tblBank[[#This Row],[Difference]]&lt;&gt;0,"Amount difference","Matched"))</f>
        <v>Matched</v>
      </c>
      <c r="M21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1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19" s="10" t="str">
        <f>IF(tblBank[[#This Row],[Status]]="Matched","",COUNTIF(INDEX(tblBank[Status],1):tblBank[[#This Row],[Status]],"&lt;&gt;Matched"))</f>
        <v/>
      </c>
    </row>
    <row r="220" spans="1:15" x14ac:dyDescent="0.25">
      <c r="A220" s="10" t="s">
        <v>1178</v>
      </c>
      <c r="B220" s="6">
        <v>46021</v>
      </c>
      <c r="C220" s="10" t="s">
        <v>1179</v>
      </c>
      <c r="D220" s="10" t="s">
        <v>721</v>
      </c>
      <c r="E220" s="11">
        <v>219.97</v>
      </c>
      <c r="F220" s="10" t="str">
        <f>IF(tblBank[[#This Row],[Reference]]="","",IFERROR(INDEX(tblLedger[Entry],MATCH(tblBank[[#This Row],[Reference]],tblLedger[Reference],0)),""))</f>
        <v>BNK25-02019</v>
      </c>
      <c r="G22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0" s="10" t="str">
        <f>IF(tblBank[[#This Row],[RefEntry]]&lt;&gt;"",tblBank[[#This Row],[RefEntry]],tblBank[[#This Row],[AmountEntry]])</f>
        <v>BNK25-02019</v>
      </c>
      <c r="I220" s="10" t="str">
        <f>IF(tblBank[[#This Row],[RefEntry]]&lt;&gt;"","Reference",IF(tblBank[[#This Row],[AmountEntry]]&lt;&gt;"","Amount and date","None"))</f>
        <v>Reference</v>
      </c>
      <c r="J220" s="11">
        <f>IF(tblBank[[#This Row],[MatchedEntry]]="","",INDEX(tblLedger[Amount],MATCH(tblBank[[#This Row],[MatchedEntry]],tblLedger[Entry],0)))</f>
        <v>219.97</v>
      </c>
      <c r="K220" s="11">
        <f>IF(tblBank[[#This Row],[MatchedEntry]]="",0,ROUND(tblBank[[#This Row],[Amount]]-tblBank[[#This Row],[BookAmount]],2))</f>
        <v>0</v>
      </c>
      <c r="L220" s="10" t="str">
        <f>IF(tblBank[[#This Row],[MatchedEntry]]="","Not in books",IF(tblBank[[#This Row],[Difference]]&lt;&gt;0,"Amount difference","Matched"))</f>
        <v>Matched</v>
      </c>
      <c r="M22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0" s="10" t="str">
        <f>IF(tblBank[[#This Row],[Status]]="Matched","",COUNTIF(INDEX(tblBank[Status],1):tblBank[[#This Row],[Status]],"&lt;&gt;Matched"))</f>
        <v/>
      </c>
    </row>
    <row r="221" spans="1:15" x14ac:dyDescent="0.25">
      <c r="A221" s="10" t="s">
        <v>1180</v>
      </c>
      <c r="B221" s="6">
        <v>46021</v>
      </c>
      <c r="C221" s="10" t="s">
        <v>1181</v>
      </c>
      <c r="D221" s="10" t="s">
        <v>712</v>
      </c>
      <c r="E221" s="11">
        <v>382.2</v>
      </c>
      <c r="F221" s="10" t="str">
        <f>IF(tblBank[[#This Row],[Reference]]="","",IFERROR(INDEX(tblLedger[Entry],MATCH(tblBank[[#This Row],[Reference]],tblLedger[Reference],0)),""))</f>
        <v>BNK25-02016</v>
      </c>
      <c r="G221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1" s="10" t="str">
        <f>IF(tblBank[[#This Row],[RefEntry]]&lt;&gt;"",tblBank[[#This Row],[RefEntry]],tblBank[[#This Row],[AmountEntry]])</f>
        <v>BNK25-02016</v>
      </c>
      <c r="I221" s="10" t="str">
        <f>IF(tblBank[[#This Row],[RefEntry]]&lt;&gt;"","Reference",IF(tblBank[[#This Row],[AmountEntry]]&lt;&gt;"","Amount and date","None"))</f>
        <v>Reference</v>
      </c>
      <c r="J221" s="11">
        <f>IF(tblBank[[#This Row],[MatchedEntry]]="","",INDEX(tblLedger[Amount],MATCH(tblBank[[#This Row],[MatchedEntry]],tblLedger[Entry],0)))</f>
        <v>382.2</v>
      </c>
      <c r="K221" s="11">
        <f>IF(tblBank[[#This Row],[MatchedEntry]]="",0,ROUND(tblBank[[#This Row],[Amount]]-tblBank[[#This Row],[BookAmount]],2))</f>
        <v>0</v>
      </c>
      <c r="L221" s="10" t="str">
        <f>IF(tblBank[[#This Row],[MatchedEntry]]="","Not in books",IF(tblBank[[#This Row],[Difference]]&lt;&gt;0,"Amount difference","Matched"))</f>
        <v>Matched</v>
      </c>
      <c r="M221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1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1" s="10" t="str">
        <f>IF(tblBank[[#This Row],[Status]]="Matched","",COUNTIF(INDEX(tblBank[Status],1):tblBank[[#This Row],[Status]],"&lt;&gt;Matched"))</f>
        <v/>
      </c>
    </row>
    <row r="222" spans="1:15" x14ac:dyDescent="0.25">
      <c r="A222" s="10" t="s">
        <v>1182</v>
      </c>
      <c r="B222" s="6">
        <v>46021</v>
      </c>
      <c r="C222" s="10" t="s">
        <v>1183</v>
      </c>
      <c r="D222" s="10" t="s">
        <v>715</v>
      </c>
      <c r="E222" s="11">
        <v>20003.3</v>
      </c>
      <c r="F222" s="10" t="str">
        <f>IF(tblBank[[#This Row],[Reference]]="","",IFERROR(INDEX(tblLedger[Entry],MATCH(tblBank[[#This Row],[Reference]],tblLedger[Reference],0)),""))</f>
        <v>BNK25-02017</v>
      </c>
      <c r="G222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2" s="10" t="str">
        <f>IF(tblBank[[#This Row],[RefEntry]]&lt;&gt;"",tblBank[[#This Row],[RefEntry]],tblBank[[#This Row],[AmountEntry]])</f>
        <v>BNK25-02017</v>
      </c>
      <c r="I222" s="10" t="str">
        <f>IF(tblBank[[#This Row],[RefEntry]]&lt;&gt;"","Reference",IF(tblBank[[#This Row],[AmountEntry]]&lt;&gt;"","Amount and date","None"))</f>
        <v>Reference</v>
      </c>
      <c r="J222" s="11">
        <f>IF(tblBank[[#This Row],[MatchedEntry]]="","",INDEX(tblLedger[Amount],MATCH(tblBank[[#This Row],[MatchedEntry]],tblLedger[Entry],0)))</f>
        <v>20003.3</v>
      </c>
      <c r="K222" s="11">
        <f>IF(tblBank[[#This Row],[MatchedEntry]]="",0,ROUND(tblBank[[#This Row],[Amount]]-tblBank[[#This Row],[BookAmount]],2))</f>
        <v>0</v>
      </c>
      <c r="L222" s="10" t="str">
        <f>IF(tblBank[[#This Row],[MatchedEntry]]="","Not in books",IF(tblBank[[#This Row],[Difference]]&lt;&gt;0,"Amount difference","Matched"))</f>
        <v>Matched</v>
      </c>
      <c r="M222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2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2" s="10" t="str">
        <f>IF(tblBank[[#This Row],[Status]]="Matched","",COUNTIF(INDEX(tblBank[Status],1):tblBank[[#This Row],[Status]],"&lt;&gt;Matched"))</f>
        <v/>
      </c>
    </row>
    <row r="223" spans="1:15" x14ac:dyDescent="0.25">
      <c r="A223" s="10" t="s">
        <v>1184</v>
      </c>
      <c r="B223" s="6">
        <v>46021</v>
      </c>
      <c r="C223" s="10" t="s">
        <v>1185</v>
      </c>
      <c r="D223" s="10" t="s">
        <v>706</v>
      </c>
      <c r="E223" s="11">
        <v>22942.52</v>
      </c>
      <c r="F223" s="10" t="str">
        <f>IF(tblBank[[#This Row],[Reference]]="","",IFERROR(INDEX(tblLedger[Entry],MATCH(tblBank[[#This Row],[Reference]],tblLedger[Reference],0)),""))</f>
        <v>BNK25-02014</v>
      </c>
      <c r="G223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3" s="10" t="str">
        <f>IF(tblBank[[#This Row],[RefEntry]]&lt;&gt;"",tblBank[[#This Row],[RefEntry]],tblBank[[#This Row],[AmountEntry]])</f>
        <v>BNK25-02014</v>
      </c>
      <c r="I223" s="10" t="str">
        <f>IF(tblBank[[#This Row],[RefEntry]]&lt;&gt;"","Reference",IF(tblBank[[#This Row],[AmountEntry]]&lt;&gt;"","Amount and date","None"))</f>
        <v>Reference</v>
      </c>
      <c r="J223" s="11">
        <f>IF(tblBank[[#This Row],[MatchedEntry]]="","",INDEX(tblLedger[Amount],MATCH(tblBank[[#This Row],[MatchedEntry]],tblLedger[Entry],0)))</f>
        <v>22942.52</v>
      </c>
      <c r="K223" s="11">
        <f>IF(tblBank[[#This Row],[MatchedEntry]]="",0,ROUND(tblBank[[#This Row],[Amount]]-tblBank[[#This Row],[BookAmount]],2))</f>
        <v>0</v>
      </c>
      <c r="L223" s="10" t="str">
        <f>IF(tblBank[[#This Row],[MatchedEntry]]="","Not in books",IF(tblBank[[#This Row],[Difference]]&lt;&gt;0,"Amount difference","Matched"))</f>
        <v>Matched</v>
      </c>
      <c r="M223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3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3" s="10" t="str">
        <f>IF(tblBank[[#This Row],[Status]]="Matched","",COUNTIF(INDEX(tblBank[Status],1):tblBank[[#This Row],[Status]],"&lt;&gt;Matched"))</f>
        <v/>
      </c>
    </row>
    <row r="224" spans="1:15" x14ac:dyDescent="0.25">
      <c r="A224" s="10" t="s">
        <v>1186</v>
      </c>
      <c r="B224" s="6">
        <v>46022</v>
      </c>
      <c r="C224" s="10" t="s">
        <v>1187</v>
      </c>
      <c r="D224" s="10" t="s">
        <v>806</v>
      </c>
      <c r="E224" s="11">
        <v>-126.4</v>
      </c>
      <c r="F224" s="10" t="str">
        <f>IF(tblBank[[#This Row],[Reference]]="","",IFERROR(INDEX(tblLedger[Entry],MATCH(tblBank[[#This Row],[Reference]],tblLedger[Reference],0)),""))</f>
        <v/>
      </c>
      <c r="G224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4" s="10" t="str">
        <f>IF(tblBank[[#This Row],[RefEntry]]&lt;&gt;"",tblBank[[#This Row],[RefEntry]],tblBank[[#This Row],[AmountEntry]])</f>
        <v/>
      </c>
      <c r="I224" s="10" t="str">
        <f>IF(tblBank[[#This Row],[RefEntry]]&lt;&gt;"","Reference",IF(tblBank[[#This Row],[AmountEntry]]&lt;&gt;"","Amount and date","None"))</f>
        <v>None</v>
      </c>
      <c r="J224" s="11" t="str">
        <f>IF(tblBank[[#This Row],[MatchedEntry]]="","",INDEX(tblLedger[Amount],MATCH(tblBank[[#This Row],[MatchedEntry]],tblLedger[Entry],0)))</f>
        <v/>
      </c>
      <c r="K224" s="11">
        <f>IF(tblBank[[#This Row],[MatchedEntry]]="",0,ROUND(tblBank[[#This Row],[Amount]]-tblBank[[#This Row],[BookAmount]],2))</f>
        <v>0</v>
      </c>
      <c r="L224" s="10" t="str">
        <f>IF(tblBank[[#This Row],[MatchedEntry]]="","Not in books",IF(tblBank[[#This Row],[Difference]]&lt;&gt;0,"Amount difference","Matched"))</f>
        <v>Not in books</v>
      </c>
      <c r="M224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Bank charges</v>
      </c>
      <c r="N224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Book the bank charges</v>
      </c>
      <c r="O224" s="10">
        <f>IF(tblBank[[#This Row],[Status]]="Matched","",COUNTIF(INDEX(tblBank[Status],1):tblBank[[#This Row],[Status]],"&lt;&gt;Matched"))</f>
        <v>6</v>
      </c>
    </row>
    <row r="225" spans="1:15" x14ac:dyDescent="0.25">
      <c r="A225" s="10" t="s">
        <v>1188</v>
      </c>
      <c r="B225" s="6">
        <v>46022</v>
      </c>
      <c r="C225" s="10" t="s">
        <v>1189</v>
      </c>
      <c r="D225" s="10" t="s">
        <v>806</v>
      </c>
      <c r="E225" s="11">
        <v>-38.5</v>
      </c>
      <c r="F225" s="10" t="str">
        <f>IF(tblBank[[#This Row],[Reference]]="","",IFERROR(INDEX(tblLedger[Entry],MATCH(tblBank[[#This Row],[Reference]],tblLedger[Reference],0)),""))</f>
        <v/>
      </c>
      <c r="G225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5" s="10" t="str">
        <f>IF(tblBank[[#This Row],[RefEntry]]&lt;&gt;"",tblBank[[#This Row],[RefEntry]],tblBank[[#This Row],[AmountEntry]])</f>
        <v/>
      </c>
      <c r="I225" s="10" t="str">
        <f>IF(tblBank[[#This Row],[RefEntry]]&lt;&gt;"","Reference",IF(tblBank[[#This Row],[AmountEntry]]&lt;&gt;"","Amount and date","None"))</f>
        <v>None</v>
      </c>
      <c r="J225" s="11" t="str">
        <f>IF(tblBank[[#This Row],[MatchedEntry]]="","",INDEX(tblLedger[Amount],MATCH(tblBank[[#This Row],[MatchedEntry]],tblLedger[Entry],0)))</f>
        <v/>
      </c>
      <c r="K225" s="11">
        <f>IF(tblBank[[#This Row],[MatchedEntry]]="",0,ROUND(tblBank[[#This Row],[Amount]]-tblBank[[#This Row],[BookAmount]],2))</f>
        <v>0</v>
      </c>
      <c r="L225" s="10" t="str">
        <f>IF(tblBank[[#This Row],[MatchedEntry]]="","Not in books",IF(tblBank[[#This Row],[Difference]]&lt;&gt;0,"Amount difference","Matched"))</f>
        <v>Not in books</v>
      </c>
      <c r="M225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>Bank charges</v>
      </c>
      <c r="N225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>Book the bank charges</v>
      </c>
      <c r="O225" s="10">
        <f>IF(tblBank[[#This Row],[Status]]="Matched","",COUNTIF(INDEX(tblBank[Status],1):tblBank[[#This Row],[Status]],"&lt;&gt;Matched"))</f>
        <v>7</v>
      </c>
    </row>
    <row r="226" spans="1:15" x14ac:dyDescent="0.25">
      <c r="A226" s="10" t="s">
        <v>1190</v>
      </c>
      <c r="B226" s="6">
        <v>46022</v>
      </c>
      <c r="C226" s="10" t="s">
        <v>1191</v>
      </c>
      <c r="D226" s="10" t="s">
        <v>637</v>
      </c>
      <c r="E226" s="11">
        <v>-946.62</v>
      </c>
      <c r="F226" s="10" t="str">
        <f>IF(tblBank[[#This Row],[Reference]]="","",IFERROR(INDEX(tblLedger[Entry],MATCH(tblBank[[#This Row],[Reference]],tblLedger[Reference],0)),""))</f>
        <v>BNK25-01991</v>
      </c>
      <c r="G226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6" s="10" t="str">
        <f>IF(tblBank[[#This Row],[RefEntry]]&lt;&gt;"",tblBank[[#This Row],[RefEntry]],tblBank[[#This Row],[AmountEntry]])</f>
        <v>BNK25-01991</v>
      </c>
      <c r="I226" s="10" t="str">
        <f>IF(tblBank[[#This Row],[RefEntry]]&lt;&gt;"","Reference",IF(tblBank[[#This Row],[AmountEntry]]&lt;&gt;"","Amount and date","None"))</f>
        <v>Reference</v>
      </c>
      <c r="J226" s="11">
        <f>IF(tblBank[[#This Row],[MatchedEntry]]="","",INDEX(tblLedger[Amount],MATCH(tblBank[[#This Row],[MatchedEntry]],tblLedger[Entry],0)))</f>
        <v>-946.62</v>
      </c>
      <c r="K226" s="11">
        <f>IF(tblBank[[#This Row],[MatchedEntry]]="",0,ROUND(tblBank[[#This Row],[Amount]]-tblBank[[#This Row],[BookAmount]],2))</f>
        <v>0</v>
      </c>
      <c r="L226" s="10" t="str">
        <f>IF(tblBank[[#This Row],[MatchedEntry]]="","Not in books",IF(tblBank[[#This Row],[Difference]]&lt;&gt;0,"Amount difference","Matched"))</f>
        <v>Matched</v>
      </c>
      <c r="M226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6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6" s="10" t="str">
        <f>IF(tblBank[[#This Row],[Status]]="Matched","",COUNTIF(INDEX(tblBank[Status],1):tblBank[[#This Row],[Status]],"&lt;&gt;Matched"))</f>
        <v/>
      </c>
    </row>
    <row r="227" spans="1:15" x14ac:dyDescent="0.25">
      <c r="A227" s="10" t="s">
        <v>1192</v>
      </c>
      <c r="B227" s="6">
        <v>46022</v>
      </c>
      <c r="C227" s="10" t="s">
        <v>1193</v>
      </c>
      <c r="D227" s="10" t="s">
        <v>727</v>
      </c>
      <c r="E227" s="11">
        <v>-33014.449999999997</v>
      </c>
      <c r="F227" s="10" t="str">
        <f>IF(tblBank[[#This Row],[Reference]]="","",IFERROR(INDEX(tblLedger[Entry],MATCH(tblBank[[#This Row],[Reference]],tblLedger[Reference],0)),""))</f>
        <v>BNK25-02021</v>
      </c>
      <c r="G227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7" s="10" t="str">
        <f>IF(tblBank[[#This Row],[RefEntry]]&lt;&gt;"",tblBank[[#This Row],[RefEntry]],tblBank[[#This Row],[AmountEntry]])</f>
        <v>BNK25-02021</v>
      </c>
      <c r="I227" s="10" t="str">
        <f>IF(tblBank[[#This Row],[RefEntry]]&lt;&gt;"","Reference",IF(tblBank[[#This Row],[AmountEntry]]&lt;&gt;"","Amount and date","None"))</f>
        <v>Reference</v>
      </c>
      <c r="J227" s="11">
        <f>IF(tblBank[[#This Row],[MatchedEntry]]="","",INDEX(tblLedger[Amount],MATCH(tblBank[[#This Row],[MatchedEntry]],tblLedger[Entry],0)))</f>
        <v>-33014.449999999997</v>
      </c>
      <c r="K227" s="11">
        <f>IF(tblBank[[#This Row],[MatchedEntry]]="",0,ROUND(tblBank[[#This Row],[Amount]]-tblBank[[#This Row],[BookAmount]],2))</f>
        <v>0</v>
      </c>
      <c r="L227" s="10" t="str">
        <f>IF(tblBank[[#This Row],[MatchedEntry]]="","Not in books",IF(tblBank[[#This Row],[Difference]]&lt;&gt;0,"Amount difference","Matched"))</f>
        <v>Matched</v>
      </c>
      <c r="M227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7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7" s="10" t="str">
        <f>IF(tblBank[[#This Row],[Status]]="Matched","",COUNTIF(INDEX(tblBank[Status],1):tblBank[[#This Row],[Status]],"&lt;&gt;Matched"))</f>
        <v/>
      </c>
    </row>
    <row r="228" spans="1:15" x14ac:dyDescent="0.25">
      <c r="A228" s="10" t="s">
        <v>1194</v>
      </c>
      <c r="B228" s="6">
        <v>46022</v>
      </c>
      <c r="C228" s="10" t="s">
        <v>1195</v>
      </c>
      <c r="D228" s="10" t="s">
        <v>730</v>
      </c>
      <c r="E228" s="11">
        <v>242.7</v>
      </c>
      <c r="F228" s="10" t="str">
        <f>IF(tblBank[[#This Row],[Reference]]="","",IFERROR(INDEX(tblLedger[Entry],MATCH(tblBank[[#This Row],[Reference]],tblLedger[Reference],0)),""))</f>
        <v>BNK25-02022</v>
      </c>
      <c r="G228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8" s="10" t="str">
        <f>IF(tblBank[[#This Row],[RefEntry]]&lt;&gt;"",tblBank[[#This Row],[RefEntry]],tblBank[[#This Row],[AmountEntry]])</f>
        <v>BNK25-02022</v>
      </c>
      <c r="I228" s="10" t="str">
        <f>IF(tblBank[[#This Row],[RefEntry]]&lt;&gt;"","Reference",IF(tblBank[[#This Row],[AmountEntry]]&lt;&gt;"","Amount and date","None"))</f>
        <v>Reference</v>
      </c>
      <c r="J228" s="11">
        <f>IF(tblBank[[#This Row],[MatchedEntry]]="","",INDEX(tblLedger[Amount],MATCH(tblBank[[#This Row],[MatchedEntry]],tblLedger[Entry],0)))</f>
        <v>242.7</v>
      </c>
      <c r="K228" s="11">
        <f>IF(tblBank[[#This Row],[MatchedEntry]]="",0,ROUND(tblBank[[#This Row],[Amount]]-tblBank[[#This Row],[BookAmount]],2))</f>
        <v>0</v>
      </c>
      <c r="L228" s="10" t="str">
        <f>IF(tblBank[[#This Row],[MatchedEntry]]="","Not in books",IF(tblBank[[#This Row],[Difference]]&lt;&gt;0,"Amount difference","Matched"))</f>
        <v>Matched</v>
      </c>
      <c r="M228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8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8" s="10" t="str">
        <f>IF(tblBank[[#This Row],[Status]]="Matched","",COUNTIF(INDEX(tblBank[Status],1):tblBank[[#This Row],[Status]],"&lt;&gt;Matched"))</f>
        <v/>
      </c>
    </row>
    <row r="229" spans="1:15" x14ac:dyDescent="0.25">
      <c r="A229" s="10" t="s">
        <v>1196</v>
      </c>
      <c r="B229" s="6">
        <v>46022</v>
      </c>
      <c r="C229" s="10" t="s">
        <v>1197</v>
      </c>
      <c r="D229" s="10" t="s">
        <v>724</v>
      </c>
      <c r="E229" s="11">
        <v>3141.11</v>
      </c>
      <c r="F229" s="10" t="str">
        <f>IF(tblBank[[#This Row],[Reference]]="","",IFERROR(INDEX(tblLedger[Entry],MATCH(tblBank[[#This Row],[Reference]],tblLedger[Reference],0)),""))</f>
        <v>BNK25-02020</v>
      </c>
      <c r="G229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/>
      </c>
      <c r="H229" s="10" t="str">
        <f>IF(tblBank[[#This Row],[RefEntry]]&lt;&gt;"",tblBank[[#This Row],[RefEntry]],tblBank[[#This Row],[AmountEntry]])</f>
        <v>BNK25-02020</v>
      </c>
      <c r="I229" s="10" t="str">
        <f>IF(tblBank[[#This Row],[RefEntry]]&lt;&gt;"","Reference",IF(tblBank[[#This Row],[AmountEntry]]&lt;&gt;"","Amount and date","None"))</f>
        <v>Reference</v>
      </c>
      <c r="J229" s="11">
        <f>IF(tblBank[[#This Row],[MatchedEntry]]="","",INDEX(tblLedger[Amount],MATCH(tblBank[[#This Row],[MatchedEntry]],tblLedger[Entry],0)))</f>
        <v>3141.11</v>
      </c>
      <c r="K229" s="11">
        <f>IF(tblBank[[#This Row],[MatchedEntry]]="",0,ROUND(tblBank[[#This Row],[Amount]]-tblBank[[#This Row],[BookAmount]],2))</f>
        <v>0</v>
      </c>
      <c r="L229" s="10" t="str">
        <f>IF(tblBank[[#This Row],[MatchedEntry]]="","Not in books",IF(tblBank[[#This Row],[Difference]]&lt;&gt;0,"Amount difference","Matched"))</f>
        <v>Matched</v>
      </c>
      <c r="M229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29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29" s="10" t="str">
        <f>IF(tblBank[[#This Row],[Status]]="Matched","",COUNTIF(INDEX(tblBank[Status],1):tblBank[[#This Row],[Status]],"&lt;&gt;Matched"))</f>
        <v/>
      </c>
    </row>
    <row r="230" spans="1:15" x14ac:dyDescent="0.25">
      <c r="A230" s="10" t="s">
        <v>1198</v>
      </c>
      <c r="B230" s="6">
        <v>46022</v>
      </c>
      <c r="C230" s="10" t="s">
        <v>1199</v>
      </c>
      <c r="D230" s="10" t="s">
        <v>806</v>
      </c>
      <c r="E230" s="11">
        <v>4866.78</v>
      </c>
      <c r="F230" s="10" t="str">
        <f>IF(tblBank[[#This Row],[Reference]]="","",IFERROR(INDEX(tblLedger[Entry],MATCH(tblBank[[#This Row],[Reference]],tblLedger[Reference],0)),""))</f>
        <v/>
      </c>
      <c r="G230" s="10" t="str">
        <f>IF(tblBank[[#This Row],[RefEntry]]&lt;&gt;"","",IFERROR(INDEX(tblLedger[Entry],MATCH(1,INDEX((tblLedger[Amount]=tblBank[[#This Row],[Amount]])*(tblLedger[MatchedByRef]=FALSE)*(ABS(tblLedger[Date]-tblBank[[#This Row],[Date]])&lt;=DateTolerance),0),0)),""))</f>
        <v>BNK25-02026</v>
      </c>
      <c r="H230" s="10" t="str">
        <f>IF(tblBank[[#This Row],[RefEntry]]&lt;&gt;"",tblBank[[#This Row],[RefEntry]],tblBank[[#This Row],[AmountEntry]])</f>
        <v>BNK25-02026</v>
      </c>
      <c r="I230" s="10" t="str">
        <f>IF(tblBank[[#This Row],[RefEntry]]&lt;&gt;"","Reference",IF(tblBank[[#This Row],[AmountEntry]]&lt;&gt;"","Amount and date","None"))</f>
        <v>Amount and date</v>
      </c>
      <c r="J230" s="11">
        <f>IF(tblBank[[#This Row],[MatchedEntry]]="","",INDEX(tblLedger[Amount],MATCH(tblBank[[#This Row],[MatchedEntry]],tblLedger[Entry],0)))</f>
        <v>4866.78</v>
      </c>
      <c r="K230" s="11">
        <f>IF(tblBank[[#This Row],[MatchedEntry]]="",0,ROUND(tblBank[[#This Row],[Amount]]-tblBank[[#This Row],[BookAmount]],2))</f>
        <v>0</v>
      </c>
      <c r="L230" s="10" t="str">
        <f>IF(tblBank[[#This Row],[MatchedEntry]]="","Not in books",IF(tblBank[[#This Row],[Difference]]&lt;&gt;0,"Amount difference","Matched"))</f>
        <v>Matched</v>
      </c>
      <c r="M230" s="10" t="str">
        <f>IF(tblBank[[#This Row],[Status]]="Matched","",IF(tblBank[[#This Row],[Status]]="Amount difference","Amount difference",IFERROR(INDEX(tblRules[Category],MATCH(TRUE,INDEX(ISNUMBER(SEARCH(tblRules[Keyword],tblBank[[#This Row],[Label]])),0),0)),"Other")))</f>
        <v/>
      </c>
      <c r="N230" s="10" t="str">
        <f>IF(tblBank[[#This Row],[Status]]="Matched","",IF(tblBank[[#This Row],[Status]]="Amount difference","Check the invoice: the bank and the ledger show different amounts",IFERROR(INDEX(tblRules[Action],MATCH(TRUE,INDEX(ISNUMBER(SEARCH(tblRules[Keyword],tblBank[[#This Row],[Label]])),0),0)),"Investigate with the bank")))</f>
        <v/>
      </c>
      <c r="O230" s="10" t="str">
        <f>IF(tblBank[[#This Row],[Status]]="Matched","",COUNTIF(INDEX(tblBank[Status],1):tblBank[[#This Row],[Status]],"&lt;&gt;Matched"))</f>
        <v/>
      </c>
    </row>
  </sheetData>
  <phoneticPr fontId="5" type="noConversion"/>
  <conditionalFormatting sqref="L2:L230">
    <cfRule type="cellIs" dxfId="43" priority="1" stopIfTrue="1" operator="equal">
      <formula>"Matched"</formula>
    </cfRule>
    <cfRule type="cellIs" dxfId="42" priority="2" stopIfTrue="1" operator="equal">
      <formula>"Not in books"</formula>
    </cfRule>
    <cfRule type="cellIs" dxfId="41" priority="3" stopIfTrue="1" operator="equal">
      <formula>"Amount difference"</formula>
    </cfRule>
    <cfRule type="cellIs" dxfId="40" priority="4" stopIfTrue="1" operator="equal">
      <formula>"Deposit in transit"</formula>
    </cfRule>
    <cfRule type="cellIs" dxfId="39" priority="5" stopIfTrue="1" operator="equal">
      <formula>"Outstanding payment"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C76E-CE35-43A0-8FA8-1408EECF2214}">
  <dimension ref="A1:J233"/>
  <sheetViews>
    <sheetView workbookViewId="0"/>
  </sheetViews>
  <sheetFormatPr baseColWidth="10" defaultRowHeight="13.2" x14ac:dyDescent="0.25"/>
  <cols>
    <col min="1" max="1" width="12.33203125" bestFit="1" customWidth="1"/>
    <col min="2" max="2" width="10.109375" bestFit="1" customWidth="1"/>
    <col min="3" max="3" width="17.44140625" customWidth="1"/>
    <col min="4" max="4" width="34.21875" bestFit="1" customWidth="1"/>
    <col min="5" max="5" width="10" bestFit="1" customWidth="1"/>
    <col min="6" max="6" width="15.77734375" bestFit="1" customWidth="1"/>
    <col min="7" max="7" width="9.21875" bestFit="1" customWidth="1"/>
    <col min="8" max="8" width="18.109375" bestFit="1" customWidth="1"/>
    <col min="9" max="9" width="38.21875" bestFit="1" customWidth="1"/>
    <col min="10" max="10" width="9.33203125" bestFit="1" customWidth="1"/>
  </cols>
  <sheetData>
    <row r="1" spans="1:10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1200</v>
      </c>
      <c r="G1" t="s">
        <v>744</v>
      </c>
      <c r="H1" t="s">
        <v>1207</v>
      </c>
      <c r="I1" t="s">
        <v>21</v>
      </c>
      <c r="J1" t="s">
        <v>1208</v>
      </c>
    </row>
    <row r="2" spans="1:10" x14ac:dyDescent="0.25">
      <c r="A2" s="10" t="s">
        <v>48</v>
      </c>
      <c r="B2" s="6">
        <v>45992</v>
      </c>
      <c r="C2" s="10" t="s">
        <v>49</v>
      </c>
      <c r="D2" s="10" t="s">
        <v>50</v>
      </c>
      <c r="E2" s="11">
        <v>-429.13</v>
      </c>
      <c r="F2" s="10" t="b">
        <f>COUNTIF(tblBank[Reference],tblLedger[[#This Row],[Reference]])&gt;0</f>
        <v>1</v>
      </c>
      <c r="G2" s="10" t="str">
        <f>IFERROR(INDEX(tblBank[BankId],MATCH(tblLedger[[#This Row],[Entry]],tblBank[MatchedEntry],0)),"")</f>
        <v>B027</v>
      </c>
      <c r="H2" s="10" t="str">
        <f>IF(tblLedger[[#This Row],[BankId]]&lt;&gt;"","Matched",IF(tblLedger[[#This Row],[Amount]]&gt;0,"Deposit in transit","Outstanding payment"))</f>
        <v>Matched</v>
      </c>
      <c r="I2" s="10" t="str">
        <f>IF(tblLedger[[#This Row],[Status]]="Matched","",IF(tblLedger[[#This Row],[Status]]="Deposit in transit","Check it is credited on the January statement","Check it is debited on the January statement"))</f>
        <v/>
      </c>
      <c r="J2" s="10" t="str">
        <f>IF(tblLedger[[#This Row],[Status]]="Matched","",COUNTIF(tblBank[Status],"&lt;&gt;Matched")+COUNTIF(INDEX(tblLedger[Status],1):tblLedger[[#This Row],[Status]],"&lt;&gt;Matched"))</f>
        <v/>
      </c>
    </row>
    <row r="3" spans="1:10" x14ac:dyDescent="0.25">
      <c r="A3" s="10" t="s">
        <v>51</v>
      </c>
      <c r="B3" s="6">
        <v>45992</v>
      </c>
      <c r="C3" s="10" t="s">
        <v>52</v>
      </c>
      <c r="D3" s="10" t="s">
        <v>53</v>
      </c>
      <c r="E3" s="11">
        <v>2578.2600000000002</v>
      </c>
      <c r="F3" s="10" t="b">
        <f>COUNTIF(tblBank[Reference],tblLedger[[#This Row],[Reference]])&gt;0</f>
        <v>1</v>
      </c>
      <c r="G3" s="10" t="str">
        <f>IFERROR(INDEX(tblBank[BankId],MATCH(tblLedger[[#This Row],[Entry]],tblBank[MatchedEntry],0)),"")</f>
        <v>B009</v>
      </c>
      <c r="H3" s="10" t="str">
        <f>IF(tblLedger[[#This Row],[BankId]]&lt;&gt;"","Matched",IF(tblLedger[[#This Row],[Amount]]&gt;0,"Deposit in transit","Outstanding payment"))</f>
        <v>Matched</v>
      </c>
      <c r="I3" s="10" t="str">
        <f>IF(tblLedger[[#This Row],[Status]]="Matched","",IF(tblLedger[[#This Row],[Status]]="Deposit in transit","Check it is credited on the January statement","Check it is debited on the January statement"))</f>
        <v/>
      </c>
      <c r="J3" s="10" t="str">
        <f>IF(tblLedger[[#This Row],[Status]]="Matched","",COUNTIF(tblBank[Status],"&lt;&gt;Matched")+COUNTIF(INDEX(tblLedger[Status],1):tblLedger[[#This Row],[Status]],"&lt;&gt;Matched"))</f>
        <v/>
      </c>
    </row>
    <row r="4" spans="1:10" x14ac:dyDescent="0.25">
      <c r="A4" s="10" t="s">
        <v>54</v>
      </c>
      <c r="B4" s="6">
        <v>45992</v>
      </c>
      <c r="C4" s="10" t="s">
        <v>55</v>
      </c>
      <c r="D4" s="10" t="s">
        <v>56</v>
      </c>
      <c r="E4" s="11">
        <v>407.72</v>
      </c>
      <c r="F4" s="10" t="b">
        <f>COUNTIF(tblBank[Reference],tblLedger[[#This Row],[Reference]])&gt;0</f>
        <v>1</v>
      </c>
      <c r="G4" s="10" t="str">
        <f>IFERROR(INDEX(tblBank[BankId],MATCH(tblLedger[[#This Row],[Entry]],tblBank[MatchedEntry],0)),"")</f>
        <v>B003</v>
      </c>
      <c r="H4" s="10" t="str">
        <f>IF(tblLedger[[#This Row],[BankId]]&lt;&gt;"","Matched",IF(tblLedger[[#This Row],[Amount]]&gt;0,"Deposit in transit","Outstanding payment"))</f>
        <v>Matched</v>
      </c>
      <c r="I4" s="10" t="str">
        <f>IF(tblLedger[[#This Row],[Status]]="Matched","",IF(tblLedger[[#This Row],[Status]]="Deposit in transit","Check it is credited on the January statement","Check it is debited on the January statement"))</f>
        <v/>
      </c>
      <c r="J4" s="10" t="str">
        <f>IF(tblLedger[[#This Row],[Status]]="Matched","",COUNTIF(tblBank[Status],"&lt;&gt;Matched")+COUNTIF(INDEX(tblLedger[Status],1):tblLedger[[#This Row],[Status]],"&lt;&gt;Matched"))</f>
        <v/>
      </c>
    </row>
    <row r="5" spans="1:10" x14ac:dyDescent="0.25">
      <c r="A5" s="10" t="s">
        <v>57</v>
      </c>
      <c r="B5" s="6">
        <v>45992</v>
      </c>
      <c r="C5" s="10" t="s">
        <v>58</v>
      </c>
      <c r="D5" s="10" t="s">
        <v>59</v>
      </c>
      <c r="E5" s="11">
        <v>208.31</v>
      </c>
      <c r="F5" s="10" t="b">
        <f>COUNTIF(tblBank[Reference],tblLedger[[#This Row],[Reference]])&gt;0</f>
        <v>1</v>
      </c>
      <c r="G5" s="10" t="str">
        <f>IFERROR(INDEX(tblBank[BankId],MATCH(tblLedger[[#This Row],[Entry]],tblBank[MatchedEntry],0)),"")</f>
        <v>B013</v>
      </c>
      <c r="H5" s="10" t="str">
        <f>IF(tblLedger[[#This Row],[BankId]]&lt;&gt;"","Matched",IF(tblLedger[[#This Row],[Amount]]&gt;0,"Deposit in transit","Outstanding payment"))</f>
        <v>Matched</v>
      </c>
      <c r="I5" s="10" t="str">
        <f>IF(tblLedger[[#This Row],[Status]]="Matched","",IF(tblLedger[[#This Row],[Status]]="Deposit in transit","Check it is credited on the January statement","Check it is debited on the January statement"))</f>
        <v/>
      </c>
      <c r="J5" s="10" t="str">
        <f>IF(tblLedger[[#This Row],[Status]]="Matched","",COUNTIF(tblBank[Status],"&lt;&gt;Matched")+COUNTIF(INDEX(tblLedger[Status],1):tblLedger[[#This Row],[Status]],"&lt;&gt;Matched"))</f>
        <v/>
      </c>
    </row>
    <row r="6" spans="1:10" x14ac:dyDescent="0.25">
      <c r="A6" s="10" t="s">
        <v>60</v>
      </c>
      <c r="B6" s="6">
        <v>45992</v>
      </c>
      <c r="C6" s="10" t="s">
        <v>61</v>
      </c>
      <c r="D6" s="10" t="s">
        <v>62</v>
      </c>
      <c r="E6" s="11">
        <v>311.24</v>
      </c>
      <c r="F6" s="10" t="b">
        <f>COUNTIF(tblBank[Reference],tblLedger[[#This Row],[Reference]])&gt;0</f>
        <v>1</v>
      </c>
      <c r="G6" s="10" t="str">
        <f>IFERROR(INDEX(tblBank[BankId],MATCH(tblLedger[[#This Row],[Entry]],tblBank[MatchedEntry],0)),"")</f>
        <v>B008</v>
      </c>
      <c r="H6" s="10" t="str">
        <f>IF(tblLedger[[#This Row],[BankId]]&lt;&gt;"","Matched",IF(tblLedger[[#This Row],[Amount]]&gt;0,"Deposit in transit","Outstanding payment"))</f>
        <v>Matched</v>
      </c>
      <c r="I6" s="10" t="str">
        <f>IF(tblLedger[[#This Row],[Status]]="Matched","",IF(tblLedger[[#This Row],[Status]]="Deposit in transit","Check it is credited on the January statement","Check it is debited on the January statement"))</f>
        <v/>
      </c>
      <c r="J6" s="10" t="str">
        <f>IF(tblLedger[[#This Row],[Status]]="Matched","",COUNTIF(tblBank[Status],"&lt;&gt;Matched")+COUNTIF(INDEX(tblLedger[Status],1):tblLedger[[#This Row],[Status]],"&lt;&gt;Matched"))</f>
        <v/>
      </c>
    </row>
    <row r="7" spans="1:10" x14ac:dyDescent="0.25">
      <c r="A7" s="10" t="s">
        <v>63</v>
      </c>
      <c r="B7" s="6">
        <v>45992</v>
      </c>
      <c r="C7" s="10" t="s">
        <v>64</v>
      </c>
      <c r="D7" s="10" t="s">
        <v>65</v>
      </c>
      <c r="E7" s="11">
        <v>479.32</v>
      </c>
      <c r="F7" s="10" t="b">
        <f>COUNTIF(tblBank[Reference],tblLedger[[#This Row],[Reference]])&gt;0</f>
        <v>1</v>
      </c>
      <c r="G7" s="10" t="str">
        <f>IFERROR(INDEX(tblBank[BankId],MATCH(tblLedger[[#This Row],[Entry]],tblBank[MatchedEntry],0)),"")</f>
        <v>B005</v>
      </c>
      <c r="H7" s="10" t="str">
        <f>IF(tblLedger[[#This Row],[BankId]]&lt;&gt;"","Matched",IF(tblLedger[[#This Row],[Amount]]&gt;0,"Deposit in transit","Outstanding payment"))</f>
        <v>Matched</v>
      </c>
      <c r="I7" s="10" t="str">
        <f>IF(tblLedger[[#This Row],[Status]]="Matched","",IF(tblLedger[[#This Row],[Status]]="Deposit in transit","Check it is credited on the January statement","Check it is debited on the January statement"))</f>
        <v/>
      </c>
      <c r="J7" s="10" t="str">
        <f>IF(tblLedger[[#This Row],[Status]]="Matched","",COUNTIF(tblBank[Status],"&lt;&gt;Matched")+COUNTIF(INDEX(tblLedger[Status],1):tblLedger[[#This Row],[Status]],"&lt;&gt;Matched"))</f>
        <v/>
      </c>
    </row>
    <row r="8" spans="1:10" x14ac:dyDescent="0.25">
      <c r="A8" s="10" t="s">
        <v>66</v>
      </c>
      <c r="B8" s="6">
        <v>45992</v>
      </c>
      <c r="C8" s="10" t="s">
        <v>67</v>
      </c>
      <c r="D8" s="10" t="s">
        <v>68</v>
      </c>
      <c r="E8" s="11">
        <v>-217.49</v>
      </c>
      <c r="F8" s="10" t="b">
        <f>COUNTIF(tblBank[Reference],tblLedger[[#This Row],[Reference]])&gt;0</f>
        <v>1</v>
      </c>
      <c r="G8" s="10" t="str">
        <f>IFERROR(INDEX(tblBank[BankId],MATCH(tblLedger[[#This Row],[Entry]],tblBank[MatchedEntry],0)),"")</f>
        <v>B022</v>
      </c>
      <c r="H8" s="10" t="str">
        <f>IF(tblLedger[[#This Row],[BankId]]&lt;&gt;"","Matched",IF(tblLedger[[#This Row],[Amount]]&gt;0,"Deposit in transit","Outstanding payment"))</f>
        <v>Matched</v>
      </c>
      <c r="I8" s="10" t="str">
        <f>IF(tblLedger[[#This Row],[Status]]="Matched","",IF(tblLedger[[#This Row],[Status]]="Deposit in transit","Check it is credited on the January statement","Check it is debited on the January statement"))</f>
        <v/>
      </c>
      <c r="J8" s="10" t="str">
        <f>IF(tblLedger[[#This Row],[Status]]="Matched","",COUNTIF(tblBank[Status],"&lt;&gt;Matched")+COUNTIF(INDEX(tblLedger[Status],1):tblLedger[[#This Row],[Status]],"&lt;&gt;Matched"))</f>
        <v/>
      </c>
    </row>
    <row r="9" spans="1:10" x14ac:dyDescent="0.25">
      <c r="A9" s="10" t="s">
        <v>69</v>
      </c>
      <c r="B9" s="6">
        <v>45992</v>
      </c>
      <c r="C9" s="10" t="s">
        <v>70</v>
      </c>
      <c r="D9" s="10" t="s">
        <v>71</v>
      </c>
      <c r="E9" s="11">
        <v>413.15</v>
      </c>
      <c r="F9" s="10" t="b">
        <f>COUNTIF(tblBank[Reference],tblLedger[[#This Row],[Reference]])&gt;0</f>
        <v>1</v>
      </c>
      <c r="G9" s="10" t="str">
        <f>IFERROR(INDEX(tblBank[BankId],MATCH(tblLedger[[#This Row],[Entry]],tblBank[MatchedEntry],0)),"")</f>
        <v>B010</v>
      </c>
      <c r="H9" s="10" t="str">
        <f>IF(tblLedger[[#This Row],[BankId]]&lt;&gt;"","Matched",IF(tblLedger[[#This Row],[Amount]]&gt;0,"Deposit in transit","Outstanding payment"))</f>
        <v>Matched</v>
      </c>
      <c r="I9" s="10" t="str">
        <f>IF(tblLedger[[#This Row],[Status]]="Matched","",IF(tblLedger[[#This Row],[Status]]="Deposit in transit","Check it is credited on the January statement","Check it is debited on the January statement"))</f>
        <v/>
      </c>
      <c r="J9" s="10" t="str">
        <f>IF(tblLedger[[#This Row],[Status]]="Matched","",COUNTIF(tblBank[Status],"&lt;&gt;Matched")+COUNTIF(INDEX(tblLedger[Status],1):tblLedger[[#This Row],[Status]],"&lt;&gt;Matched"))</f>
        <v/>
      </c>
    </row>
    <row r="10" spans="1:10" x14ac:dyDescent="0.25">
      <c r="A10" s="10" t="s">
        <v>72</v>
      </c>
      <c r="B10" s="6">
        <v>45992</v>
      </c>
      <c r="C10" s="10" t="s">
        <v>73</v>
      </c>
      <c r="D10" s="10" t="s">
        <v>74</v>
      </c>
      <c r="E10" s="11">
        <v>825.16</v>
      </c>
      <c r="F10" s="10" t="b">
        <f>COUNTIF(tblBank[Reference],tblLedger[[#This Row],[Reference]])&gt;0</f>
        <v>1</v>
      </c>
      <c r="G10" s="10" t="str">
        <f>IFERROR(INDEX(tblBank[BankId],MATCH(tblLedger[[#This Row],[Entry]],tblBank[MatchedEntry],0)),"")</f>
        <v>B011</v>
      </c>
      <c r="H10" s="10" t="str">
        <f>IF(tblLedger[[#This Row],[BankId]]&lt;&gt;"","Matched",IF(tblLedger[[#This Row],[Amount]]&gt;0,"Deposit in transit","Outstanding payment"))</f>
        <v>Matched</v>
      </c>
      <c r="I10" s="10" t="str">
        <f>IF(tblLedger[[#This Row],[Status]]="Matched","",IF(tblLedger[[#This Row],[Status]]="Deposit in transit","Check it is credited on the January statement","Check it is debited on the January statement"))</f>
        <v/>
      </c>
      <c r="J10" s="10" t="str">
        <f>IF(tblLedger[[#This Row],[Status]]="Matched","",COUNTIF(tblBank[Status],"&lt;&gt;Matched")+COUNTIF(INDEX(tblLedger[Status],1):tblLedger[[#This Row],[Status]],"&lt;&gt;Matched"))</f>
        <v/>
      </c>
    </row>
    <row r="11" spans="1:10" x14ac:dyDescent="0.25">
      <c r="A11" s="10" t="s">
        <v>75</v>
      </c>
      <c r="B11" s="6">
        <v>45992</v>
      </c>
      <c r="C11" s="10" t="s">
        <v>76</v>
      </c>
      <c r="D11" s="10" t="s">
        <v>77</v>
      </c>
      <c r="E11" s="11">
        <v>2544.2399999999998</v>
      </c>
      <c r="F11" s="10" t="b">
        <f>COUNTIF(tblBank[Reference],tblLedger[[#This Row],[Reference]])&gt;0</f>
        <v>1</v>
      </c>
      <c r="G11" s="10" t="str">
        <f>IFERROR(INDEX(tblBank[BankId],MATCH(tblLedger[[#This Row],[Entry]],tblBank[MatchedEntry],0)),"")</f>
        <v>B006</v>
      </c>
      <c r="H11" s="10" t="str">
        <f>IF(tblLedger[[#This Row],[BankId]]&lt;&gt;"","Matched",IF(tblLedger[[#This Row],[Amount]]&gt;0,"Deposit in transit","Outstanding payment"))</f>
        <v>Matched</v>
      </c>
      <c r="I11" s="10" t="str">
        <f>IF(tblLedger[[#This Row],[Status]]="Matched","",IF(tblLedger[[#This Row],[Status]]="Deposit in transit","Check it is credited on the January statement","Check it is debited on the January statement"))</f>
        <v/>
      </c>
      <c r="J11" s="10" t="str">
        <f>IF(tblLedger[[#This Row],[Status]]="Matched","",COUNTIF(tblBank[Status],"&lt;&gt;Matched")+COUNTIF(INDEX(tblLedger[Status],1):tblLedger[[#This Row],[Status]],"&lt;&gt;Matched"))</f>
        <v/>
      </c>
    </row>
    <row r="12" spans="1:10" x14ac:dyDescent="0.25">
      <c r="A12" s="10" t="s">
        <v>78</v>
      </c>
      <c r="B12" s="6">
        <v>45992</v>
      </c>
      <c r="C12" s="10" t="s">
        <v>79</v>
      </c>
      <c r="D12" s="10" t="s">
        <v>80</v>
      </c>
      <c r="E12" s="11">
        <v>248.1</v>
      </c>
      <c r="F12" s="10" t="b">
        <f>COUNTIF(tblBank[Reference],tblLedger[[#This Row],[Reference]])&gt;0</f>
        <v>1</v>
      </c>
      <c r="G12" s="10" t="str">
        <f>IFERROR(INDEX(tblBank[BankId],MATCH(tblLedger[[#This Row],[Entry]],tblBank[MatchedEntry],0)),"")</f>
        <v>B020</v>
      </c>
      <c r="H12" s="10" t="str">
        <f>IF(tblLedger[[#This Row],[BankId]]&lt;&gt;"","Matched",IF(tblLedger[[#This Row],[Amount]]&gt;0,"Deposit in transit","Outstanding payment"))</f>
        <v>Matched</v>
      </c>
      <c r="I12" s="10" t="str">
        <f>IF(tblLedger[[#This Row],[Status]]="Matched","",IF(tblLedger[[#This Row],[Status]]="Deposit in transit","Check it is credited on the January statement","Check it is debited on the January statement"))</f>
        <v/>
      </c>
      <c r="J12" s="10" t="str">
        <f>IF(tblLedger[[#This Row],[Status]]="Matched","",COUNTIF(tblBank[Status],"&lt;&gt;Matched")+COUNTIF(INDEX(tblLedger[Status],1):tblLedger[[#This Row],[Status]],"&lt;&gt;Matched"))</f>
        <v/>
      </c>
    </row>
    <row r="13" spans="1:10" x14ac:dyDescent="0.25">
      <c r="A13" s="10" t="s">
        <v>81</v>
      </c>
      <c r="B13" s="6">
        <v>45992</v>
      </c>
      <c r="C13" s="10" t="s">
        <v>82</v>
      </c>
      <c r="D13" s="10" t="s">
        <v>83</v>
      </c>
      <c r="E13" s="11">
        <v>638.75</v>
      </c>
      <c r="F13" s="10" t="b">
        <f>COUNTIF(tblBank[Reference],tblLedger[[#This Row],[Reference]])&gt;0</f>
        <v>1</v>
      </c>
      <c r="G13" s="10" t="str">
        <f>IFERROR(INDEX(tblBank[BankId],MATCH(tblLedger[[#This Row],[Entry]],tblBank[MatchedEntry],0)),"")</f>
        <v>B014</v>
      </c>
      <c r="H13" s="10" t="str">
        <f>IF(tblLedger[[#This Row],[BankId]]&lt;&gt;"","Matched",IF(tblLedger[[#This Row],[Amount]]&gt;0,"Deposit in transit","Outstanding payment"))</f>
        <v>Matched</v>
      </c>
      <c r="I13" s="10" t="str">
        <f>IF(tblLedger[[#This Row],[Status]]="Matched","",IF(tblLedger[[#This Row],[Status]]="Deposit in transit","Check it is credited on the January statement","Check it is debited on the January statement"))</f>
        <v/>
      </c>
      <c r="J13" s="10" t="str">
        <f>IF(tblLedger[[#This Row],[Status]]="Matched","",COUNTIF(tblBank[Status],"&lt;&gt;Matched")+COUNTIF(INDEX(tblLedger[Status],1):tblLedger[[#This Row],[Status]],"&lt;&gt;Matched"))</f>
        <v/>
      </c>
    </row>
    <row r="14" spans="1:10" x14ac:dyDescent="0.25">
      <c r="A14" s="10" t="s">
        <v>84</v>
      </c>
      <c r="B14" s="6">
        <v>45992</v>
      </c>
      <c r="C14" s="10" t="s">
        <v>85</v>
      </c>
      <c r="D14" s="10" t="s">
        <v>86</v>
      </c>
      <c r="E14" s="11">
        <v>1588.08</v>
      </c>
      <c r="F14" s="10" t="b">
        <f>COUNTIF(tblBank[Reference],tblLedger[[#This Row],[Reference]])&gt;0</f>
        <v>1</v>
      </c>
      <c r="G14" s="10" t="str">
        <f>IFERROR(INDEX(tblBank[BankId],MATCH(tblLedger[[#This Row],[Entry]],tblBank[MatchedEntry],0)),"")</f>
        <v>B004</v>
      </c>
      <c r="H14" s="10" t="str">
        <f>IF(tblLedger[[#This Row],[BankId]]&lt;&gt;"","Matched",IF(tblLedger[[#This Row],[Amount]]&gt;0,"Deposit in transit","Outstanding payment"))</f>
        <v>Matched</v>
      </c>
      <c r="I14" s="10" t="str">
        <f>IF(tblLedger[[#This Row],[Status]]="Matched","",IF(tblLedger[[#This Row],[Status]]="Deposit in transit","Check it is credited on the January statement","Check it is debited on the January statement"))</f>
        <v/>
      </c>
      <c r="J14" s="10" t="str">
        <f>IF(tblLedger[[#This Row],[Status]]="Matched","",COUNTIF(tblBank[Status],"&lt;&gt;Matched")+COUNTIF(INDEX(tblLedger[Status],1):tblLedger[[#This Row],[Status]],"&lt;&gt;Matched"))</f>
        <v/>
      </c>
    </row>
    <row r="15" spans="1:10" x14ac:dyDescent="0.25">
      <c r="A15" s="10" t="s">
        <v>87</v>
      </c>
      <c r="B15" s="6">
        <v>45992</v>
      </c>
      <c r="C15" s="10" t="s">
        <v>88</v>
      </c>
      <c r="D15" s="10" t="s">
        <v>89</v>
      </c>
      <c r="E15" s="11">
        <v>214.85</v>
      </c>
      <c r="F15" s="10" t="b">
        <f>COUNTIF(tblBank[Reference],tblLedger[[#This Row],[Reference]])&gt;0</f>
        <v>1</v>
      </c>
      <c r="G15" s="10" t="str">
        <f>IFERROR(INDEX(tblBank[BankId],MATCH(tblLedger[[#This Row],[Entry]],tblBank[MatchedEntry],0)),"")</f>
        <v>B015</v>
      </c>
      <c r="H15" s="10" t="str">
        <f>IF(tblLedger[[#This Row],[BankId]]&lt;&gt;"","Matched",IF(tblLedger[[#This Row],[Amount]]&gt;0,"Deposit in transit","Outstanding payment"))</f>
        <v>Matched</v>
      </c>
      <c r="I15" s="10" t="str">
        <f>IF(tblLedger[[#This Row],[Status]]="Matched","",IF(tblLedger[[#This Row],[Status]]="Deposit in transit","Check it is credited on the January statement","Check it is debited on the January statement"))</f>
        <v/>
      </c>
      <c r="J15" s="10" t="str">
        <f>IF(tblLedger[[#This Row],[Status]]="Matched","",COUNTIF(tblBank[Status],"&lt;&gt;Matched")+COUNTIF(INDEX(tblLedger[Status],1):tblLedger[[#This Row],[Status]],"&lt;&gt;Matched"))</f>
        <v/>
      </c>
    </row>
    <row r="16" spans="1:10" x14ac:dyDescent="0.25">
      <c r="A16" s="10" t="s">
        <v>90</v>
      </c>
      <c r="B16" s="6">
        <v>45992</v>
      </c>
      <c r="C16" s="10" t="s">
        <v>91</v>
      </c>
      <c r="D16" s="10" t="s">
        <v>92</v>
      </c>
      <c r="E16" s="11">
        <v>179.12</v>
      </c>
      <c r="F16" s="10" t="b">
        <f>COUNTIF(tblBank[Reference],tblLedger[[#This Row],[Reference]])&gt;0</f>
        <v>1</v>
      </c>
      <c r="G16" s="10" t="str">
        <f>IFERROR(INDEX(tblBank[BankId],MATCH(tblLedger[[#This Row],[Entry]],tblBank[MatchedEntry],0)),"")</f>
        <v>B002</v>
      </c>
      <c r="H16" s="10" t="str">
        <f>IF(tblLedger[[#This Row],[BankId]]&lt;&gt;"","Matched",IF(tblLedger[[#This Row],[Amount]]&gt;0,"Deposit in transit","Outstanding payment"))</f>
        <v>Matched</v>
      </c>
      <c r="I16" s="10" t="str">
        <f>IF(tblLedger[[#This Row],[Status]]="Matched","",IF(tblLedger[[#This Row],[Status]]="Deposit in transit","Check it is credited on the January statement","Check it is debited on the January statement"))</f>
        <v/>
      </c>
      <c r="J16" s="10" t="str">
        <f>IF(tblLedger[[#This Row],[Status]]="Matched","",COUNTIF(tblBank[Status],"&lt;&gt;Matched")+COUNTIF(INDEX(tblLedger[Status],1):tblLedger[[#This Row],[Status]],"&lt;&gt;Matched"))</f>
        <v/>
      </c>
    </row>
    <row r="17" spans="1:10" x14ac:dyDescent="0.25">
      <c r="A17" s="10" t="s">
        <v>93</v>
      </c>
      <c r="B17" s="6">
        <v>45992</v>
      </c>
      <c r="C17" s="10" t="s">
        <v>94</v>
      </c>
      <c r="D17" s="10" t="s">
        <v>95</v>
      </c>
      <c r="E17" s="11">
        <v>1095.52</v>
      </c>
      <c r="F17" s="10" t="b">
        <f>COUNTIF(tblBank[Reference],tblLedger[[#This Row],[Reference]])&gt;0</f>
        <v>1</v>
      </c>
      <c r="G17" s="10" t="str">
        <f>IFERROR(INDEX(tblBank[BankId],MATCH(tblLedger[[#This Row],[Entry]],tblBank[MatchedEntry],0)),"")</f>
        <v>B007</v>
      </c>
      <c r="H17" s="10" t="str">
        <f>IF(tblLedger[[#This Row],[BankId]]&lt;&gt;"","Matched",IF(tblLedger[[#This Row],[Amount]]&gt;0,"Deposit in transit","Outstanding payment"))</f>
        <v>Matched</v>
      </c>
      <c r="I17" s="10" t="str">
        <f>IF(tblLedger[[#This Row],[Status]]="Matched","",IF(tblLedger[[#This Row],[Status]]="Deposit in transit","Check it is credited on the January statement","Check it is debited on the January statement"))</f>
        <v/>
      </c>
      <c r="J17" s="10" t="str">
        <f>IF(tblLedger[[#This Row],[Status]]="Matched","",COUNTIF(tblBank[Status],"&lt;&gt;Matched")+COUNTIF(INDEX(tblLedger[Status],1):tblLedger[[#This Row],[Status]],"&lt;&gt;Matched"))</f>
        <v/>
      </c>
    </row>
    <row r="18" spans="1:10" x14ac:dyDescent="0.25">
      <c r="A18" s="10" t="s">
        <v>96</v>
      </c>
      <c r="B18" s="6">
        <v>45992</v>
      </c>
      <c r="C18" s="10" t="s">
        <v>97</v>
      </c>
      <c r="D18" s="10" t="s">
        <v>98</v>
      </c>
      <c r="E18" s="11">
        <v>4740.17</v>
      </c>
      <c r="F18" s="10" t="b">
        <f>COUNTIF(tblBank[Reference],tblLedger[[#This Row],[Reference]])&gt;0</f>
        <v>1</v>
      </c>
      <c r="G18" s="10" t="str">
        <f>IFERROR(INDEX(tblBank[BankId],MATCH(tblLedger[[#This Row],[Entry]],tblBank[MatchedEntry],0)),"")</f>
        <v>B001</v>
      </c>
      <c r="H18" s="10" t="str">
        <f>IF(tblLedger[[#This Row],[BankId]]&lt;&gt;"","Matched",IF(tblLedger[[#This Row],[Amount]]&gt;0,"Deposit in transit","Outstanding payment"))</f>
        <v>Matched</v>
      </c>
      <c r="I18" s="10" t="str">
        <f>IF(tblLedger[[#This Row],[Status]]="Matched","",IF(tblLedger[[#This Row],[Status]]="Deposit in transit","Check it is credited on the January statement","Check it is debited on the January statement"))</f>
        <v/>
      </c>
      <c r="J18" s="10" t="str">
        <f>IF(tblLedger[[#This Row],[Status]]="Matched","",COUNTIF(tblBank[Status],"&lt;&gt;Matched")+COUNTIF(INDEX(tblLedger[Status],1):tblLedger[[#This Row],[Status]],"&lt;&gt;Matched"))</f>
        <v/>
      </c>
    </row>
    <row r="19" spans="1:10" x14ac:dyDescent="0.25">
      <c r="A19" s="10" t="s">
        <v>99</v>
      </c>
      <c r="B19" s="6">
        <v>45992</v>
      </c>
      <c r="C19" s="10" t="s">
        <v>100</v>
      </c>
      <c r="D19" s="10" t="s">
        <v>101</v>
      </c>
      <c r="E19" s="11">
        <v>19564.62</v>
      </c>
      <c r="F19" s="10" t="b">
        <f>COUNTIF(tblBank[Reference],tblLedger[[#This Row],[Reference]])&gt;0</f>
        <v>1</v>
      </c>
      <c r="G19" s="10" t="str">
        <f>IFERROR(INDEX(tblBank[BankId],MATCH(tblLedger[[#This Row],[Entry]],tblBank[MatchedEntry],0)),"")</f>
        <v>B012</v>
      </c>
      <c r="H19" s="10" t="str">
        <f>IF(tblLedger[[#This Row],[BankId]]&lt;&gt;"","Matched",IF(tblLedger[[#This Row],[Amount]]&gt;0,"Deposit in transit","Outstanding payment"))</f>
        <v>Matched</v>
      </c>
      <c r="I19" s="10" t="str">
        <f>IF(tblLedger[[#This Row],[Status]]="Matched","",IF(tblLedger[[#This Row],[Status]]="Deposit in transit","Check it is credited on the January statement","Check it is debited on the January statement"))</f>
        <v/>
      </c>
      <c r="J19" s="10" t="str">
        <f>IF(tblLedger[[#This Row],[Status]]="Matched","",COUNTIF(tblBank[Status],"&lt;&gt;Matched")+COUNTIF(INDEX(tblLedger[Status],1):tblLedger[[#This Row],[Status]],"&lt;&gt;Matched"))</f>
        <v/>
      </c>
    </row>
    <row r="20" spans="1:10" x14ac:dyDescent="0.25">
      <c r="A20" s="10" t="s">
        <v>102</v>
      </c>
      <c r="B20" s="6">
        <v>45992</v>
      </c>
      <c r="C20" s="10" t="s">
        <v>103</v>
      </c>
      <c r="D20" s="10" t="s">
        <v>104</v>
      </c>
      <c r="E20" s="11">
        <v>4248.97</v>
      </c>
      <c r="F20" s="10" t="b">
        <f>COUNTIF(tblBank[Reference],tblLedger[[#This Row],[Reference]])&gt;0</f>
        <v>1</v>
      </c>
      <c r="G20" s="10" t="str">
        <f>IFERROR(INDEX(tblBank[BankId],MATCH(tblLedger[[#This Row],[Entry]],tblBank[MatchedEntry],0)),"")</f>
        <v>B018</v>
      </c>
      <c r="H20" s="10" t="str">
        <f>IF(tblLedger[[#This Row],[BankId]]&lt;&gt;"","Matched",IF(tblLedger[[#This Row],[Amount]]&gt;0,"Deposit in transit","Outstanding payment"))</f>
        <v>Matched</v>
      </c>
      <c r="I20" s="10" t="str">
        <f>IF(tblLedger[[#This Row],[Status]]="Matched","",IF(tblLedger[[#This Row],[Status]]="Deposit in transit","Check it is credited on the January statement","Check it is debited on the January statement"))</f>
        <v/>
      </c>
      <c r="J20" s="10" t="str">
        <f>IF(tblLedger[[#This Row],[Status]]="Matched","",COUNTIF(tblBank[Status],"&lt;&gt;Matched")+COUNTIF(INDEX(tblLedger[Status],1):tblLedger[[#This Row],[Status]],"&lt;&gt;Matched"))</f>
        <v/>
      </c>
    </row>
    <row r="21" spans="1:10" x14ac:dyDescent="0.25">
      <c r="A21" s="10" t="s">
        <v>105</v>
      </c>
      <c r="B21" s="6">
        <v>45992</v>
      </c>
      <c r="C21" s="10" t="s">
        <v>106</v>
      </c>
      <c r="D21" s="10" t="s">
        <v>107</v>
      </c>
      <c r="E21" s="11">
        <v>895.82</v>
      </c>
      <c r="F21" s="10" t="b">
        <f>COUNTIF(tblBank[Reference],tblLedger[[#This Row],[Reference]])&gt;0</f>
        <v>1</v>
      </c>
      <c r="G21" s="10" t="str">
        <f>IFERROR(INDEX(tblBank[BankId],MATCH(tblLedger[[#This Row],[Entry]],tblBank[MatchedEntry],0)),"")</f>
        <v>B017</v>
      </c>
      <c r="H21" s="10" t="str">
        <f>IF(tblLedger[[#This Row],[BankId]]&lt;&gt;"","Matched",IF(tblLedger[[#This Row],[Amount]]&gt;0,"Deposit in transit","Outstanding payment"))</f>
        <v>Matched</v>
      </c>
      <c r="I21" s="10" t="str">
        <f>IF(tblLedger[[#This Row],[Status]]="Matched","",IF(tblLedger[[#This Row],[Status]]="Deposit in transit","Check it is credited on the January statement","Check it is debited on the January statement"))</f>
        <v/>
      </c>
      <c r="J21" s="10" t="str">
        <f>IF(tblLedger[[#This Row],[Status]]="Matched","",COUNTIF(tblBank[Status],"&lt;&gt;Matched")+COUNTIF(INDEX(tblLedger[Status],1):tblLedger[[#This Row],[Status]],"&lt;&gt;Matched"))</f>
        <v/>
      </c>
    </row>
    <row r="22" spans="1:10" x14ac:dyDescent="0.25">
      <c r="A22" s="10" t="s">
        <v>108</v>
      </c>
      <c r="B22" s="6">
        <v>45992</v>
      </c>
      <c r="C22" s="10" t="s">
        <v>109</v>
      </c>
      <c r="D22" s="10" t="s">
        <v>110</v>
      </c>
      <c r="E22" s="11">
        <v>298.02999999999997</v>
      </c>
      <c r="F22" s="10" t="b">
        <f>COUNTIF(tblBank[Reference],tblLedger[[#This Row],[Reference]])&gt;0</f>
        <v>1</v>
      </c>
      <c r="G22" s="10" t="str">
        <f>IFERROR(INDEX(tblBank[BankId],MATCH(tblLedger[[#This Row],[Entry]],tblBank[MatchedEntry],0)),"")</f>
        <v>B016</v>
      </c>
      <c r="H22" s="10" t="str">
        <f>IF(tblLedger[[#This Row],[BankId]]&lt;&gt;"","Matched",IF(tblLedger[[#This Row],[Amount]]&gt;0,"Deposit in transit","Outstanding payment"))</f>
        <v>Matched</v>
      </c>
      <c r="I22" s="10" t="str">
        <f>IF(tblLedger[[#This Row],[Status]]="Matched","",IF(tblLedger[[#This Row],[Status]]="Deposit in transit","Check it is credited on the January statement","Check it is debited on the January statement"))</f>
        <v/>
      </c>
      <c r="J22" s="10" t="str">
        <f>IF(tblLedger[[#This Row],[Status]]="Matched","",COUNTIF(tblBank[Status],"&lt;&gt;Matched")+COUNTIF(INDEX(tblLedger[Status],1):tblLedger[[#This Row],[Status]],"&lt;&gt;Matched"))</f>
        <v/>
      </c>
    </row>
    <row r="23" spans="1:10" x14ac:dyDescent="0.25">
      <c r="A23" s="10" t="s">
        <v>111</v>
      </c>
      <c r="B23" s="6">
        <v>45992</v>
      </c>
      <c r="C23" s="10" t="s">
        <v>112</v>
      </c>
      <c r="D23" s="10" t="s">
        <v>113</v>
      </c>
      <c r="E23" s="11">
        <v>7031.69</v>
      </c>
      <c r="F23" s="10" t="b">
        <f>COUNTIF(tblBank[Reference],tblLedger[[#This Row],[Reference]])&gt;0</f>
        <v>1</v>
      </c>
      <c r="G23" s="10" t="str">
        <f>IFERROR(INDEX(tblBank[BankId],MATCH(tblLedger[[#This Row],[Entry]],tblBank[MatchedEntry],0)),"")</f>
        <v>B019</v>
      </c>
      <c r="H23" s="10" t="str">
        <f>IF(tblLedger[[#This Row],[BankId]]&lt;&gt;"","Matched",IF(tblLedger[[#This Row],[Amount]]&gt;0,"Deposit in transit","Outstanding payment"))</f>
        <v>Matched</v>
      </c>
      <c r="I23" s="10" t="str">
        <f>IF(tblLedger[[#This Row],[Status]]="Matched","",IF(tblLedger[[#This Row],[Status]]="Deposit in transit","Check it is credited on the January statement","Check it is debited on the January statement"))</f>
        <v/>
      </c>
      <c r="J23" s="10" t="str">
        <f>IF(tblLedger[[#This Row],[Status]]="Matched","",COUNTIF(tblBank[Status],"&lt;&gt;Matched")+COUNTIF(INDEX(tblLedger[Status],1):tblLedger[[#This Row],[Status]],"&lt;&gt;Matched"))</f>
        <v/>
      </c>
    </row>
    <row r="24" spans="1:10" x14ac:dyDescent="0.25">
      <c r="A24" s="10" t="s">
        <v>114</v>
      </c>
      <c r="B24" s="6">
        <v>45993</v>
      </c>
      <c r="C24" s="10" t="s">
        <v>115</v>
      </c>
      <c r="D24" s="10" t="s">
        <v>116</v>
      </c>
      <c r="E24" s="11">
        <v>-2098.79</v>
      </c>
      <c r="F24" s="10" t="b">
        <f>COUNTIF(tblBank[Reference],tblLedger[[#This Row],[Reference]])&gt;0</f>
        <v>1</v>
      </c>
      <c r="G24" s="10" t="str">
        <f>IFERROR(INDEX(tblBank[BankId],MATCH(tblLedger[[#This Row],[Entry]],tblBank[MatchedEntry],0)),"")</f>
        <v>B028</v>
      </c>
      <c r="H24" s="10" t="str">
        <f>IF(tblLedger[[#This Row],[BankId]]&lt;&gt;"","Matched",IF(tblLedger[[#This Row],[Amount]]&gt;0,"Deposit in transit","Outstanding payment"))</f>
        <v>Matched</v>
      </c>
      <c r="I24" s="10" t="str">
        <f>IF(tblLedger[[#This Row],[Status]]="Matched","",IF(tblLedger[[#This Row],[Status]]="Deposit in transit","Check it is credited on the January statement","Check it is debited on the January statement"))</f>
        <v/>
      </c>
      <c r="J24" s="10" t="str">
        <f>IF(tblLedger[[#This Row],[Status]]="Matched","",COUNTIF(tblBank[Status],"&lt;&gt;Matched")+COUNTIF(INDEX(tblLedger[Status],1):tblLedger[[#This Row],[Status]],"&lt;&gt;Matched"))</f>
        <v/>
      </c>
    </row>
    <row r="25" spans="1:10" x14ac:dyDescent="0.25">
      <c r="A25" s="10" t="s">
        <v>117</v>
      </c>
      <c r="B25" s="6">
        <v>45993</v>
      </c>
      <c r="C25" s="10" t="s">
        <v>118</v>
      </c>
      <c r="D25" s="10" t="s">
        <v>119</v>
      </c>
      <c r="E25" s="11">
        <v>812.03</v>
      </c>
      <c r="F25" s="10" t="b">
        <f>COUNTIF(tblBank[Reference],tblLedger[[#This Row],[Reference]])&gt;0</f>
        <v>1</v>
      </c>
      <c r="G25" s="10" t="str">
        <f>IFERROR(INDEX(tblBank[BankId],MATCH(tblLedger[[#This Row],[Entry]],tblBank[MatchedEntry],0)),"")</f>
        <v>B024</v>
      </c>
      <c r="H25" s="10" t="str">
        <f>IF(tblLedger[[#This Row],[BankId]]&lt;&gt;"","Matched",IF(tblLedger[[#This Row],[Amount]]&gt;0,"Deposit in transit","Outstanding payment"))</f>
        <v>Matched</v>
      </c>
      <c r="I25" s="10" t="str">
        <f>IF(tblLedger[[#This Row],[Status]]="Matched","",IF(tblLedger[[#This Row],[Status]]="Deposit in transit","Check it is credited on the January statement","Check it is debited on the January statement"))</f>
        <v/>
      </c>
      <c r="J25" s="10" t="str">
        <f>IF(tblLedger[[#This Row],[Status]]="Matched","",COUNTIF(tblBank[Status],"&lt;&gt;Matched")+COUNTIF(INDEX(tblLedger[Status],1):tblLedger[[#This Row],[Status]],"&lt;&gt;Matched"))</f>
        <v/>
      </c>
    </row>
    <row r="26" spans="1:10" x14ac:dyDescent="0.25">
      <c r="A26" s="10" t="s">
        <v>120</v>
      </c>
      <c r="B26" s="6">
        <v>45993</v>
      </c>
      <c r="C26" s="10" t="s">
        <v>121</v>
      </c>
      <c r="D26" s="10" t="s">
        <v>122</v>
      </c>
      <c r="E26" s="11">
        <v>-203.46</v>
      </c>
      <c r="F26" s="10" t="b">
        <f>COUNTIF(tblBank[Reference],tblLedger[[#This Row],[Reference]])&gt;0</f>
        <v>1</v>
      </c>
      <c r="G26" s="10" t="str">
        <f>IFERROR(INDEX(tblBank[BankId],MATCH(tblLedger[[#This Row],[Entry]],tblBank[MatchedEntry],0)),"")</f>
        <v>B021</v>
      </c>
      <c r="H26" s="10" t="str">
        <f>IF(tblLedger[[#This Row],[BankId]]&lt;&gt;"","Matched",IF(tblLedger[[#This Row],[Amount]]&gt;0,"Deposit in transit","Outstanding payment"))</f>
        <v>Matched</v>
      </c>
      <c r="I26" s="10" t="str">
        <f>IF(tblLedger[[#This Row],[Status]]="Matched","",IF(tblLedger[[#This Row],[Status]]="Deposit in transit","Check it is credited on the January statement","Check it is debited on the January statement"))</f>
        <v/>
      </c>
      <c r="J26" s="10" t="str">
        <f>IF(tblLedger[[#This Row],[Status]]="Matched","",COUNTIF(tblBank[Status],"&lt;&gt;Matched")+COUNTIF(INDEX(tblLedger[Status],1):tblLedger[[#This Row],[Status]],"&lt;&gt;Matched"))</f>
        <v/>
      </c>
    </row>
    <row r="27" spans="1:10" x14ac:dyDescent="0.25">
      <c r="A27" s="10" t="s">
        <v>123</v>
      </c>
      <c r="B27" s="6">
        <v>45993</v>
      </c>
      <c r="C27" s="10" t="s">
        <v>124</v>
      </c>
      <c r="D27" s="10" t="s">
        <v>125</v>
      </c>
      <c r="E27" s="11">
        <v>1113.67</v>
      </c>
      <c r="F27" s="10" t="b">
        <f>COUNTIF(tblBank[Reference],tblLedger[[#This Row],[Reference]])&gt;0</f>
        <v>1</v>
      </c>
      <c r="G27" s="10" t="str">
        <f>IFERROR(INDEX(tblBank[BankId],MATCH(tblLedger[[#This Row],[Entry]],tblBank[MatchedEntry],0)),"")</f>
        <v>B025</v>
      </c>
      <c r="H27" s="10" t="str">
        <f>IF(tblLedger[[#This Row],[BankId]]&lt;&gt;"","Matched",IF(tblLedger[[#This Row],[Amount]]&gt;0,"Deposit in transit","Outstanding payment"))</f>
        <v>Matched</v>
      </c>
      <c r="I27" s="10" t="str">
        <f>IF(tblLedger[[#This Row],[Status]]="Matched","",IF(tblLedger[[#This Row],[Status]]="Deposit in transit","Check it is credited on the January statement","Check it is debited on the January statement"))</f>
        <v/>
      </c>
      <c r="J27" s="10" t="str">
        <f>IF(tblLedger[[#This Row],[Status]]="Matched","",COUNTIF(tblBank[Status],"&lt;&gt;Matched")+COUNTIF(INDEX(tblLedger[Status],1):tblLedger[[#This Row],[Status]],"&lt;&gt;Matched"))</f>
        <v/>
      </c>
    </row>
    <row r="28" spans="1:10" x14ac:dyDescent="0.25">
      <c r="A28" s="10" t="s">
        <v>126</v>
      </c>
      <c r="B28" s="6">
        <v>45993</v>
      </c>
      <c r="C28" s="10" t="s">
        <v>127</v>
      </c>
      <c r="D28" s="10" t="s">
        <v>128</v>
      </c>
      <c r="E28" s="11">
        <v>253.92</v>
      </c>
      <c r="F28" s="10" t="b">
        <f>COUNTIF(tblBank[Reference],tblLedger[[#This Row],[Reference]])&gt;0</f>
        <v>1</v>
      </c>
      <c r="G28" s="10" t="str">
        <f>IFERROR(INDEX(tblBank[BankId],MATCH(tblLedger[[#This Row],[Entry]],tblBank[MatchedEntry],0)),"")</f>
        <v>B023</v>
      </c>
      <c r="H28" s="10" t="str">
        <f>IF(tblLedger[[#This Row],[BankId]]&lt;&gt;"","Matched",IF(tblLedger[[#This Row],[Amount]]&gt;0,"Deposit in transit","Outstanding payment"))</f>
        <v>Matched</v>
      </c>
      <c r="I28" s="10" t="str">
        <f>IF(tblLedger[[#This Row],[Status]]="Matched","",IF(tblLedger[[#This Row],[Status]]="Deposit in transit","Check it is credited on the January statement","Check it is debited on the January statement"))</f>
        <v/>
      </c>
      <c r="J28" s="10" t="str">
        <f>IF(tblLedger[[#This Row],[Status]]="Matched","",COUNTIF(tblBank[Status],"&lt;&gt;Matched")+COUNTIF(INDEX(tblLedger[Status],1):tblLedger[[#This Row],[Status]],"&lt;&gt;Matched"))</f>
        <v/>
      </c>
    </row>
    <row r="29" spans="1:10" x14ac:dyDescent="0.25">
      <c r="A29" s="10" t="s">
        <v>129</v>
      </c>
      <c r="B29" s="6">
        <v>45994</v>
      </c>
      <c r="C29" s="10" t="s">
        <v>130</v>
      </c>
      <c r="D29" s="10" t="s">
        <v>131</v>
      </c>
      <c r="E29" s="11">
        <v>-909.95</v>
      </c>
      <c r="F29" s="10" t="b">
        <f>COUNTIF(tblBank[Reference],tblLedger[[#This Row],[Reference]])&gt;0</f>
        <v>1</v>
      </c>
      <c r="G29" s="10" t="str">
        <f>IFERROR(INDEX(tblBank[BankId],MATCH(tblLedger[[#This Row],[Entry]],tblBank[MatchedEntry],0)),"")</f>
        <v>B029</v>
      </c>
      <c r="H29" s="10" t="str">
        <f>IF(tblLedger[[#This Row],[BankId]]&lt;&gt;"","Matched",IF(tblLedger[[#This Row],[Amount]]&gt;0,"Deposit in transit","Outstanding payment"))</f>
        <v>Matched</v>
      </c>
      <c r="I29" s="10" t="str">
        <f>IF(tblLedger[[#This Row],[Status]]="Matched","",IF(tblLedger[[#This Row],[Status]]="Deposit in transit","Check it is credited on the January statement","Check it is debited on the January statement"))</f>
        <v/>
      </c>
      <c r="J29" s="10" t="str">
        <f>IF(tblLedger[[#This Row],[Status]]="Matched","",COUNTIF(tblBank[Status],"&lt;&gt;Matched")+COUNTIF(INDEX(tblLedger[Status],1):tblLedger[[#This Row],[Status]],"&lt;&gt;Matched"))</f>
        <v/>
      </c>
    </row>
    <row r="30" spans="1:10" x14ac:dyDescent="0.25">
      <c r="A30" s="10" t="s">
        <v>132</v>
      </c>
      <c r="B30" s="6">
        <v>45994</v>
      </c>
      <c r="C30" s="10" t="s">
        <v>133</v>
      </c>
      <c r="D30" s="10" t="s">
        <v>134</v>
      </c>
      <c r="E30" s="11">
        <v>-272.77</v>
      </c>
      <c r="F30" s="10" t="b">
        <f>COUNTIF(tblBank[Reference],tblLedger[[#This Row],[Reference]])&gt;0</f>
        <v>1</v>
      </c>
      <c r="G30" s="10" t="str">
        <f>IFERROR(INDEX(tblBank[BankId],MATCH(tblLedger[[#This Row],[Entry]],tblBank[MatchedEntry],0)),"")</f>
        <v>B032</v>
      </c>
      <c r="H30" s="10" t="str">
        <f>IF(tblLedger[[#This Row],[BankId]]&lt;&gt;"","Matched",IF(tblLedger[[#This Row],[Amount]]&gt;0,"Deposit in transit","Outstanding payment"))</f>
        <v>Matched</v>
      </c>
      <c r="I30" s="10" t="str">
        <f>IF(tblLedger[[#This Row],[Status]]="Matched","",IF(tblLedger[[#This Row],[Status]]="Deposit in transit","Check it is credited on the January statement","Check it is debited on the January statement"))</f>
        <v/>
      </c>
      <c r="J30" s="10" t="str">
        <f>IF(tblLedger[[#This Row],[Status]]="Matched","",COUNTIF(tblBank[Status],"&lt;&gt;Matched")+COUNTIF(INDEX(tblLedger[Status],1):tblLedger[[#This Row],[Status]],"&lt;&gt;Matched"))</f>
        <v/>
      </c>
    </row>
    <row r="31" spans="1:10" x14ac:dyDescent="0.25">
      <c r="A31" s="10" t="s">
        <v>135</v>
      </c>
      <c r="B31" s="6">
        <v>45994</v>
      </c>
      <c r="C31" s="10" t="s">
        <v>136</v>
      </c>
      <c r="D31" s="10" t="s">
        <v>137</v>
      </c>
      <c r="E31" s="11">
        <v>2855.74</v>
      </c>
      <c r="F31" s="10" t="b">
        <f>COUNTIF(tblBank[Reference],tblLedger[[#This Row],[Reference]])&gt;0</f>
        <v>0</v>
      </c>
      <c r="G31" s="10" t="str">
        <f>IFERROR(INDEX(tblBank[BankId],MATCH(tblLedger[[#This Row],[Entry]],tblBank[MatchedEntry],0)),"")</f>
        <v>B030</v>
      </c>
      <c r="H31" s="10" t="str">
        <f>IF(tblLedger[[#This Row],[BankId]]&lt;&gt;"","Matched",IF(tblLedger[[#This Row],[Amount]]&gt;0,"Deposit in transit","Outstanding payment"))</f>
        <v>Matched</v>
      </c>
      <c r="I31" s="10" t="str">
        <f>IF(tblLedger[[#This Row],[Status]]="Matched","",IF(tblLedger[[#This Row],[Status]]="Deposit in transit","Check it is credited on the January statement","Check it is debited on the January statement"))</f>
        <v/>
      </c>
      <c r="J31" s="10" t="str">
        <f>IF(tblLedger[[#This Row],[Status]]="Matched","",COUNTIF(tblBank[Status],"&lt;&gt;Matched")+COUNTIF(INDEX(tblLedger[Status],1):tblLedger[[#This Row],[Status]],"&lt;&gt;Matched"))</f>
        <v/>
      </c>
    </row>
    <row r="32" spans="1:10" x14ac:dyDescent="0.25">
      <c r="A32" s="10" t="s">
        <v>138</v>
      </c>
      <c r="B32" s="6">
        <v>45994</v>
      </c>
      <c r="C32" s="10" t="s">
        <v>139</v>
      </c>
      <c r="D32" s="10" t="s">
        <v>140</v>
      </c>
      <c r="E32" s="11">
        <v>-205.84</v>
      </c>
      <c r="F32" s="10" t="b">
        <f>COUNTIF(tblBank[Reference],tblLedger[[#This Row],[Reference]])&gt;0</f>
        <v>1</v>
      </c>
      <c r="G32" s="10" t="str">
        <f>IFERROR(INDEX(tblBank[BankId],MATCH(tblLedger[[#This Row],[Entry]],tblBank[MatchedEntry],0)),"")</f>
        <v>B040</v>
      </c>
      <c r="H32" s="10" t="str">
        <f>IF(tblLedger[[#This Row],[BankId]]&lt;&gt;"","Matched",IF(tblLedger[[#This Row],[Amount]]&gt;0,"Deposit in transit","Outstanding payment"))</f>
        <v>Matched</v>
      </c>
      <c r="I32" s="10" t="str">
        <f>IF(tblLedger[[#This Row],[Status]]="Matched","",IF(tblLedger[[#This Row],[Status]]="Deposit in transit","Check it is credited on the January statement","Check it is debited on the January statement"))</f>
        <v/>
      </c>
      <c r="J32" s="10" t="str">
        <f>IF(tblLedger[[#This Row],[Status]]="Matched","",COUNTIF(tblBank[Status],"&lt;&gt;Matched")+COUNTIF(INDEX(tblLedger[Status],1):tblLedger[[#This Row],[Status]],"&lt;&gt;Matched"))</f>
        <v/>
      </c>
    </row>
    <row r="33" spans="1:10" x14ac:dyDescent="0.25">
      <c r="A33" s="10" t="s">
        <v>141</v>
      </c>
      <c r="B33" s="6">
        <v>45994</v>
      </c>
      <c r="C33" s="10" t="s">
        <v>142</v>
      </c>
      <c r="D33" s="10" t="s">
        <v>143</v>
      </c>
      <c r="E33" s="11">
        <v>-1865.51</v>
      </c>
      <c r="F33" s="10" t="b">
        <f>COUNTIF(tblBank[Reference],tblLedger[[#This Row],[Reference]])&gt;0</f>
        <v>1</v>
      </c>
      <c r="G33" s="10" t="str">
        <f>IFERROR(INDEX(tblBank[BankId],MATCH(tblLedger[[#This Row],[Entry]],tblBank[MatchedEntry],0)),"")</f>
        <v>B039</v>
      </c>
      <c r="H33" s="10" t="str">
        <f>IF(tblLedger[[#This Row],[BankId]]&lt;&gt;"","Matched",IF(tblLedger[[#This Row],[Amount]]&gt;0,"Deposit in transit","Outstanding payment"))</f>
        <v>Matched</v>
      </c>
      <c r="I33" s="10" t="str">
        <f>IF(tblLedger[[#This Row],[Status]]="Matched","",IF(tblLedger[[#This Row],[Status]]="Deposit in transit","Check it is credited on the January statement","Check it is debited on the January statement"))</f>
        <v/>
      </c>
      <c r="J33" s="10" t="str">
        <f>IF(tblLedger[[#This Row],[Status]]="Matched","",COUNTIF(tblBank[Status],"&lt;&gt;Matched")+COUNTIF(INDEX(tblLedger[Status],1):tblLedger[[#This Row],[Status]],"&lt;&gt;Matched"))</f>
        <v/>
      </c>
    </row>
    <row r="34" spans="1:10" x14ac:dyDescent="0.25">
      <c r="A34" s="10" t="s">
        <v>144</v>
      </c>
      <c r="B34" s="6">
        <v>45994</v>
      </c>
      <c r="C34" s="10" t="s">
        <v>145</v>
      </c>
      <c r="D34" s="10" t="s">
        <v>146</v>
      </c>
      <c r="E34" s="11">
        <v>71.819999999999993</v>
      </c>
      <c r="F34" s="10" t="b">
        <f>COUNTIF(tblBank[Reference],tblLedger[[#This Row],[Reference]])&gt;0</f>
        <v>1</v>
      </c>
      <c r="G34" s="10" t="str">
        <f>IFERROR(INDEX(tblBank[BankId],MATCH(tblLedger[[#This Row],[Entry]],tblBank[MatchedEntry],0)),"")</f>
        <v>B031</v>
      </c>
      <c r="H34" s="10" t="str">
        <f>IF(tblLedger[[#This Row],[BankId]]&lt;&gt;"","Matched",IF(tblLedger[[#This Row],[Amount]]&gt;0,"Deposit in transit","Outstanding payment"))</f>
        <v>Matched</v>
      </c>
      <c r="I34" s="10" t="str">
        <f>IF(tblLedger[[#This Row],[Status]]="Matched","",IF(tblLedger[[#This Row],[Status]]="Deposit in transit","Check it is credited on the January statement","Check it is debited on the January statement"))</f>
        <v/>
      </c>
      <c r="J34" s="10" t="str">
        <f>IF(tblLedger[[#This Row],[Status]]="Matched","",COUNTIF(tblBank[Status],"&lt;&gt;Matched")+COUNTIF(INDEX(tblLedger[Status],1):tblLedger[[#This Row],[Status]],"&lt;&gt;Matched"))</f>
        <v/>
      </c>
    </row>
    <row r="35" spans="1:10" x14ac:dyDescent="0.25">
      <c r="A35" s="10" t="s">
        <v>147</v>
      </c>
      <c r="B35" s="6">
        <v>45994</v>
      </c>
      <c r="C35" s="10" t="s">
        <v>148</v>
      </c>
      <c r="D35" s="10" t="s">
        <v>149</v>
      </c>
      <c r="E35" s="11">
        <v>-1604.46</v>
      </c>
      <c r="F35" s="10" t="b">
        <f>COUNTIF(tblBank[Reference],tblLedger[[#This Row],[Reference]])&gt;0</f>
        <v>1</v>
      </c>
      <c r="G35" s="10" t="str">
        <f>IFERROR(INDEX(tblBank[BankId],MATCH(tblLedger[[#This Row],[Entry]],tblBank[MatchedEntry],0)),"")</f>
        <v>B026</v>
      </c>
      <c r="H35" s="10" t="str">
        <f>IF(tblLedger[[#This Row],[BankId]]&lt;&gt;"","Matched",IF(tblLedger[[#This Row],[Amount]]&gt;0,"Deposit in transit","Outstanding payment"))</f>
        <v>Matched</v>
      </c>
      <c r="I35" s="10" t="str">
        <f>IF(tblLedger[[#This Row],[Status]]="Matched","",IF(tblLedger[[#This Row],[Status]]="Deposit in transit","Check it is credited on the January statement","Check it is debited on the January statement"))</f>
        <v/>
      </c>
      <c r="J35" s="10" t="str">
        <f>IF(tblLedger[[#This Row],[Status]]="Matched","",COUNTIF(tblBank[Status],"&lt;&gt;Matched")+COUNTIF(INDEX(tblLedger[Status],1):tblLedger[[#This Row],[Status]],"&lt;&gt;Matched"))</f>
        <v/>
      </c>
    </row>
    <row r="36" spans="1:10" x14ac:dyDescent="0.25">
      <c r="A36" s="10" t="s">
        <v>150</v>
      </c>
      <c r="B36" s="6">
        <v>45995</v>
      </c>
      <c r="C36" s="10" t="s">
        <v>151</v>
      </c>
      <c r="D36" s="10" t="s">
        <v>152</v>
      </c>
      <c r="E36" s="11">
        <v>349.31</v>
      </c>
      <c r="F36" s="10" t="b">
        <f>COUNTIF(tblBank[Reference],tblLedger[[#This Row],[Reference]])&gt;0</f>
        <v>1</v>
      </c>
      <c r="G36" s="10" t="str">
        <f>IFERROR(INDEX(tblBank[BankId],MATCH(tblLedger[[#This Row],[Entry]],tblBank[MatchedEntry],0)),"")</f>
        <v>B036</v>
      </c>
      <c r="H36" s="10" t="str">
        <f>IF(tblLedger[[#This Row],[BankId]]&lt;&gt;"","Matched",IF(tblLedger[[#This Row],[Amount]]&gt;0,"Deposit in transit","Outstanding payment"))</f>
        <v>Matched</v>
      </c>
      <c r="I36" s="10" t="str">
        <f>IF(tblLedger[[#This Row],[Status]]="Matched","",IF(tblLedger[[#This Row],[Status]]="Deposit in transit","Check it is credited on the January statement","Check it is debited on the January statement"))</f>
        <v/>
      </c>
      <c r="J36" s="10" t="str">
        <f>IF(tblLedger[[#This Row],[Status]]="Matched","",COUNTIF(tblBank[Status],"&lt;&gt;Matched")+COUNTIF(INDEX(tblLedger[Status],1):tblLedger[[#This Row],[Status]],"&lt;&gt;Matched"))</f>
        <v/>
      </c>
    </row>
    <row r="37" spans="1:10" x14ac:dyDescent="0.25">
      <c r="A37" s="10" t="s">
        <v>153</v>
      </c>
      <c r="B37" s="6">
        <v>45995</v>
      </c>
      <c r="C37" s="10" t="s">
        <v>154</v>
      </c>
      <c r="D37" s="10" t="s">
        <v>155</v>
      </c>
      <c r="E37" s="11">
        <v>181.28</v>
      </c>
      <c r="F37" s="10" t="b">
        <f>COUNTIF(tblBank[Reference],tblLedger[[#This Row],[Reference]])&gt;0</f>
        <v>1</v>
      </c>
      <c r="G37" s="10" t="str">
        <f>IFERROR(INDEX(tblBank[BankId],MATCH(tblLedger[[#This Row],[Entry]],tblBank[MatchedEntry],0)),"")</f>
        <v>B034</v>
      </c>
      <c r="H37" s="10" t="str">
        <f>IF(tblLedger[[#This Row],[BankId]]&lt;&gt;"","Matched",IF(tblLedger[[#This Row],[Amount]]&gt;0,"Deposit in transit","Outstanding payment"))</f>
        <v>Matched</v>
      </c>
      <c r="I37" s="10" t="str">
        <f>IF(tblLedger[[#This Row],[Status]]="Matched","",IF(tblLedger[[#This Row],[Status]]="Deposit in transit","Check it is credited on the January statement","Check it is debited on the January statement"))</f>
        <v/>
      </c>
      <c r="J37" s="10" t="str">
        <f>IF(tblLedger[[#This Row],[Status]]="Matched","",COUNTIF(tblBank[Status],"&lt;&gt;Matched")+COUNTIF(INDEX(tblLedger[Status],1):tblLedger[[#This Row],[Status]],"&lt;&gt;Matched"))</f>
        <v/>
      </c>
    </row>
    <row r="38" spans="1:10" x14ac:dyDescent="0.25">
      <c r="A38" s="10" t="s">
        <v>156</v>
      </c>
      <c r="B38" s="6">
        <v>45995</v>
      </c>
      <c r="C38" s="10" t="s">
        <v>157</v>
      </c>
      <c r="D38" s="10" t="s">
        <v>158</v>
      </c>
      <c r="E38" s="11">
        <v>-5400</v>
      </c>
      <c r="F38" s="10" t="b">
        <f>COUNTIF(tblBank[Reference],tblLedger[[#This Row],[Reference]])&gt;0</f>
        <v>1</v>
      </c>
      <c r="G38" s="10" t="str">
        <f>IFERROR(INDEX(tblBank[BankId],MATCH(tblLedger[[#This Row],[Entry]],tblBank[MatchedEntry],0)),"")</f>
        <v>B041</v>
      </c>
      <c r="H38" s="10" t="str">
        <f>IF(tblLedger[[#This Row],[BankId]]&lt;&gt;"","Matched",IF(tblLedger[[#This Row],[Amount]]&gt;0,"Deposit in transit","Outstanding payment"))</f>
        <v>Matched</v>
      </c>
      <c r="I38" s="10" t="str">
        <f>IF(tblLedger[[#This Row],[Status]]="Matched","",IF(tblLedger[[#This Row],[Status]]="Deposit in transit","Check it is credited on the January statement","Check it is debited on the January statement"))</f>
        <v/>
      </c>
      <c r="J38" s="10" t="str">
        <f>IF(tblLedger[[#This Row],[Status]]="Matched","",COUNTIF(tblBank[Status],"&lt;&gt;Matched")+COUNTIF(INDEX(tblLedger[Status],1):tblLedger[[#This Row],[Status]],"&lt;&gt;Matched"))</f>
        <v/>
      </c>
    </row>
    <row r="39" spans="1:10" x14ac:dyDescent="0.25">
      <c r="A39" s="10" t="s">
        <v>159</v>
      </c>
      <c r="B39" s="6">
        <v>45995</v>
      </c>
      <c r="C39" s="10" t="s">
        <v>160</v>
      </c>
      <c r="D39" s="10" t="s">
        <v>161</v>
      </c>
      <c r="E39" s="11">
        <v>264.73</v>
      </c>
      <c r="F39" s="10" t="b">
        <f>COUNTIF(tblBank[Reference],tblLedger[[#This Row],[Reference]])&gt;0</f>
        <v>1</v>
      </c>
      <c r="G39" s="10" t="str">
        <f>IFERROR(INDEX(tblBank[BankId],MATCH(tblLedger[[#This Row],[Entry]],tblBank[MatchedEntry],0)),"")</f>
        <v>B033</v>
      </c>
      <c r="H39" s="10" t="str">
        <f>IF(tblLedger[[#This Row],[BankId]]&lt;&gt;"","Matched",IF(tblLedger[[#This Row],[Amount]]&gt;0,"Deposit in transit","Outstanding payment"))</f>
        <v>Matched</v>
      </c>
      <c r="I39" s="10" t="str">
        <f>IF(tblLedger[[#This Row],[Status]]="Matched","",IF(tblLedger[[#This Row],[Status]]="Deposit in transit","Check it is credited on the January statement","Check it is debited on the January statement"))</f>
        <v/>
      </c>
      <c r="J39" s="10" t="str">
        <f>IF(tblLedger[[#This Row],[Status]]="Matched","",COUNTIF(tblBank[Status],"&lt;&gt;Matched")+COUNTIF(INDEX(tblLedger[Status],1):tblLedger[[#This Row],[Status]],"&lt;&gt;Matched"))</f>
        <v/>
      </c>
    </row>
    <row r="40" spans="1:10" x14ac:dyDescent="0.25">
      <c r="A40" s="10" t="s">
        <v>162</v>
      </c>
      <c r="B40" s="6">
        <v>45995</v>
      </c>
      <c r="C40" s="10" t="s">
        <v>163</v>
      </c>
      <c r="D40" s="10" t="s">
        <v>164</v>
      </c>
      <c r="E40" s="11">
        <v>302.82</v>
      </c>
      <c r="F40" s="10" t="b">
        <f>COUNTIF(tblBank[Reference],tblLedger[[#This Row],[Reference]])&gt;0</f>
        <v>1</v>
      </c>
      <c r="G40" s="10" t="str">
        <f>IFERROR(INDEX(tblBank[BankId],MATCH(tblLedger[[#This Row],[Entry]],tblBank[MatchedEntry],0)),"")</f>
        <v>B035</v>
      </c>
      <c r="H40" s="10" t="str">
        <f>IF(tblLedger[[#This Row],[BankId]]&lt;&gt;"","Matched",IF(tblLedger[[#This Row],[Amount]]&gt;0,"Deposit in transit","Outstanding payment"))</f>
        <v>Matched</v>
      </c>
      <c r="I40" s="10" t="str">
        <f>IF(tblLedger[[#This Row],[Status]]="Matched","",IF(tblLedger[[#This Row],[Status]]="Deposit in transit","Check it is credited on the January statement","Check it is debited on the January statement"))</f>
        <v/>
      </c>
      <c r="J40" s="10" t="str">
        <f>IF(tblLedger[[#This Row],[Status]]="Matched","",COUNTIF(tblBank[Status],"&lt;&gt;Matched")+COUNTIF(INDEX(tblLedger[Status],1):tblLedger[[#This Row],[Status]],"&lt;&gt;Matched"))</f>
        <v/>
      </c>
    </row>
    <row r="41" spans="1:10" x14ac:dyDescent="0.25">
      <c r="A41" s="10" t="s">
        <v>165</v>
      </c>
      <c r="B41" s="6">
        <v>45996</v>
      </c>
      <c r="C41" s="10" t="s">
        <v>166</v>
      </c>
      <c r="D41" s="10" t="s">
        <v>167</v>
      </c>
      <c r="E41" s="11">
        <v>1125.06</v>
      </c>
      <c r="F41" s="10" t="b">
        <f>COUNTIF(tblBank[Reference],tblLedger[[#This Row],[Reference]])&gt;0</f>
        <v>1</v>
      </c>
      <c r="G41" s="10" t="str">
        <f>IFERROR(INDEX(tblBank[BankId],MATCH(tblLedger[[#This Row],[Entry]],tblBank[MatchedEntry],0)),"")</f>
        <v>B043</v>
      </c>
      <c r="H41" s="10" t="str">
        <f>IF(tblLedger[[#This Row],[BankId]]&lt;&gt;"","Matched",IF(tblLedger[[#This Row],[Amount]]&gt;0,"Deposit in transit","Outstanding payment"))</f>
        <v>Matched</v>
      </c>
      <c r="I41" s="10" t="str">
        <f>IF(tblLedger[[#This Row],[Status]]="Matched","",IF(tblLedger[[#This Row],[Status]]="Deposit in transit","Check it is credited on the January statement","Check it is debited on the January statement"))</f>
        <v/>
      </c>
      <c r="J41" s="10" t="str">
        <f>IF(tblLedger[[#This Row],[Status]]="Matched","",COUNTIF(tblBank[Status],"&lt;&gt;Matched")+COUNTIF(INDEX(tblLedger[Status],1):tblLedger[[#This Row],[Status]],"&lt;&gt;Matched"))</f>
        <v/>
      </c>
    </row>
    <row r="42" spans="1:10" x14ac:dyDescent="0.25">
      <c r="A42" s="10" t="s">
        <v>168</v>
      </c>
      <c r="B42" s="6">
        <v>45996</v>
      </c>
      <c r="C42" s="10" t="s">
        <v>169</v>
      </c>
      <c r="D42" s="10" t="s">
        <v>170</v>
      </c>
      <c r="E42" s="11">
        <v>-985.94</v>
      </c>
      <c r="F42" s="10" t="b">
        <f>COUNTIF(tblBank[Reference],tblLedger[[#This Row],[Reference]])&gt;0</f>
        <v>1</v>
      </c>
      <c r="G42" s="10" t="str">
        <f>IFERROR(INDEX(tblBank[BankId],MATCH(tblLedger[[#This Row],[Entry]],tblBank[MatchedEntry],0)),"")</f>
        <v>B038</v>
      </c>
      <c r="H42" s="10" t="str">
        <f>IF(tblLedger[[#This Row],[BankId]]&lt;&gt;"","Matched",IF(tblLedger[[#This Row],[Amount]]&gt;0,"Deposit in transit","Outstanding payment"))</f>
        <v>Matched</v>
      </c>
      <c r="I42" s="10" t="str">
        <f>IF(tblLedger[[#This Row],[Status]]="Matched","",IF(tblLedger[[#This Row],[Status]]="Deposit in transit","Check it is credited on the January statement","Check it is debited on the January statement"))</f>
        <v/>
      </c>
      <c r="J42" s="10" t="str">
        <f>IF(tblLedger[[#This Row],[Status]]="Matched","",COUNTIF(tblBank[Status],"&lt;&gt;Matched")+COUNTIF(INDEX(tblLedger[Status],1):tblLedger[[#This Row],[Status]],"&lt;&gt;Matched"))</f>
        <v/>
      </c>
    </row>
    <row r="43" spans="1:10" x14ac:dyDescent="0.25">
      <c r="A43" s="10" t="s">
        <v>171</v>
      </c>
      <c r="B43" s="6">
        <v>45996</v>
      </c>
      <c r="C43" s="10" t="s">
        <v>172</v>
      </c>
      <c r="D43" s="10" t="s">
        <v>173</v>
      </c>
      <c r="E43" s="11">
        <v>333.29</v>
      </c>
      <c r="F43" s="10" t="b">
        <f>COUNTIF(tblBank[Reference],tblLedger[[#This Row],[Reference]])&gt;0</f>
        <v>1</v>
      </c>
      <c r="G43" s="10" t="str">
        <f>IFERROR(INDEX(tblBank[BankId],MATCH(tblLedger[[#This Row],[Entry]],tblBank[MatchedEntry],0)),"")</f>
        <v>B044</v>
      </c>
      <c r="H43" s="10" t="str">
        <f>IF(tblLedger[[#This Row],[BankId]]&lt;&gt;"","Matched",IF(tblLedger[[#This Row],[Amount]]&gt;0,"Deposit in transit","Outstanding payment"))</f>
        <v>Matched</v>
      </c>
      <c r="I43" s="10" t="str">
        <f>IF(tblLedger[[#This Row],[Status]]="Matched","",IF(tblLedger[[#This Row],[Status]]="Deposit in transit","Check it is credited on the January statement","Check it is debited on the January statement"))</f>
        <v/>
      </c>
      <c r="J43" s="10" t="str">
        <f>IF(tblLedger[[#This Row],[Status]]="Matched","",COUNTIF(tblBank[Status],"&lt;&gt;Matched")+COUNTIF(INDEX(tblLedger[Status],1):tblLedger[[#This Row],[Status]],"&lt;&gt;Matched"))</f>
        <v/>
      </c>
    </row>
    <row r="44" spans="1:10" x14ac:dyDescent="0.25">
      <c r="A44" s="10" t="s">
        <v>174</v>
      </c>
      <c r="B44" s="6">
        <v>45996</v>
      </c>
      <c r="C44" s="10" t="s">
        <v>175</v>
      </c>
      <c r="D44" s="10" t="s">
        <v>176</v>
      </c>
      <c r="E44" s="11">
        <v>-9412.5</v>
      </c>
      <c r="F44" s="10" t="b">
        <f>COUNTIF(tblBank[Reference],tblLedger[[#This Row],[Reference]])&gt;0</f>
        <v>1</v>
      </c>
      <c r="G44" s="10" t="str">
        <f>IFERROR(INDEX(tblBank[BankId],MATCH(tblLedger[[#This Row],[Entry]],tblBank[MatchedEntry],0)),"")</f>
        <v>B037</v>
      </c>
      <c r="H44" s="10" t="str">
        <f>IF(tblLedger[[#This Row],[BankId]]&lt;&gt;"","Matched",IF(tblLedger[[#This Row],[Amount]]&gt;0,"Deposit in transit","Outstanding payment"))</f>
        <v>Matched</v>
      </c>
      <c r="I44" s="10" t="str">
        <f>IF(tblLedger[[#This Row],[Status]]="Matched","",IF(tblLedger[[#This Row],[Status]]="Deposit in transit","Check it is credited on the January statement","Check it is debited on the January statement"))</f>
        <v/>
      </c>
      <c r="J44" s="10" t="str">
        <f>IF(tblLedger[[#This Row],[Status]]="Matched","",COUNTIF(tblBank[Status],"&lt;&gt;Matched")+COUNTIF(INDEX(tblLedger[Status],1):tblLedger[[#This Row],[Status]],"&lt;&gt;Matched"))</f>
        <v/>
      </c>
    </row>
    <row r="45" spans="1:10" x14ac:dyDescent="0.25">
      <c r="A45" s="10" t="s">
        <v>177</v>
      </c>
      <c r="B45" s="6">
        <v>45996</v>
      </c>
      <c r="C45" s="10" t="s">
        <v>178</v>
      </c>
      <c r="D45" s="10" t="s">
        <v>179</v>
      </c>
      <c r="E45" s="11">
        <v>434.86</v>
      </c>
      <c r="F45" s="10" t="b">
        <f>COUNTIF(tblBank[Reference],tblLedger[[#This Row],[Reference]])&gt;0</f>
        <v>1</v>
      </c>
      <c r="G45" s="10" t="str">
        <f>IFERROR(INDEX(tblBank[BankId],MATCH(tblLedger[[#This Row],[Entry]],tblBank[MatchedEntry],0)),"")</f>
        <v>B042</v>
      </c>
      <c r="H45" s="10" t="str">
        <f>IF(tblLedger[[#This Row],[BankId]]&lt;&gt;"","Matched",IF(tblLedger[[#This Row],[Amount]]&gt;0,"Deposit in transit","Outstanding payment"))</f>
        <v>Matched</v>
      </c>
      <c r="I45" s="10" t="str">
        <f>IF(tblLedger[[#This Row],[Status]]="Matched","",IF(tblLedger[[#This Row],[Status]]="Deposit in transit","Check it is credited on the January statement","Check it is debited on the January statement"))</f>
        <v/>
      </c>
      <c r="J45" s="10" t="str">
        <f>IF(tblLedger[[#This Row],[Status]]="Matched","",COUNTIF(tblBank[Status],"&lt;&gt;Matched")+COUNTIF(INDEX(tblLedger[Status],1):tblLedger[[#This Row],[Status]],"&lt;&gt;Matched"))</f>
        <v/>
      </c>
    </row>
    <row r="46" spans="1:10" x14ac:dyDescent="0.25">
      <c r="A46" s="10" t="s">
        <v>180</v>
      </c>
      <c r="B46" s="6">
        <v>45996</v>
      </c>
      <c r="C46" s="10" t="s">
        <v>181</v>
      </c>
      <c r="D46" s="10" t="s">
        <v>182</v>
      </c>
      <c r="E46" s="11">
        <v>1116.07</v>
      </c>
      <c r="F46" s="10" t="b">
        <f>COUNTIF(tblBank[Reference],tblLedger[[#This Row],[Reference]])&gt;0</f>
        <v>1</v>
      </c>
      <c r="G46" s="10" t="str">
        <f>IFERROR(INDEX(tblBank[BankId],MATCH(tblLedger[[#This Row],[Entry]],tblBank[MatchedEntry],0)),"")</f>
        <v>B045</v>
      </c>
      <c r="H46" s="10" t="str">
        <f>IF(tblLedger[[#This Row],[BankId]]&lt;&gt;"","Matched",IF(tblLedger[[#This Row],[Amount]]&gt;0,"Deposit in transit","Outstanding payment"))</f>
        <v>Matched</v>
      </c>
      <c r="I46" s="10" t="str">
        <f>IF(tblLedger[[#This Row],[Status]]="Matched","",IF(tblLedger[[#This Row],[Status]]="Deposit in transit","Check it is credited on the January statement","Check it is debited on the January statement"))</f>
        <v/>
      </c>
      <c r="J46" s="10" t="str">
        <f>IF(tblLedger[[#This Row],[Status]]="Matched","",COUNTIF(tblBank[Status],"&lt;&gt;Matched")+COUNTIF(INDEX(tblLedger[Status],1):tblLedger[[#This Row],[Status]],"&lt;&gt;Matched"))</f>
        <v/>
      </c>
    </row>
    <row r="47" spans="1:10" x14ac:dyDescent="0.25">
      <c r="A47" s="10" t="s">
        <v>183</v>
      </c>
      <c r="B47" s="6">
        <v>45999</v>
      </c>
      <c r="C47" s="10" t="s">
        <v>184</v>
      </c>
      <c r="D47" s="10" t="s">
        <v>185</v>
      </c>
      <c r="E47" s="11">
        <v>-628.9</v>
      </c>
      <c r="F47" s="10" t="b">
        <f>COUNTIF(tblBank[Reference],tblLedger[[#This Row],[Reference]])&gt;0</f>
        <v>1</v>
      </c>
      <c r="G47" s="10" t="str">
        <f>IFERROR(INDEX(tblBank[BankId],MATCH(tblLedger[[#This Row],[Entry]],tblBank[MatchedEntry],0)),"")</f>
        <v>B082</v>
      </c>
      <c r="H47" s="10" t="str">
        <f>IF(tblLedger[[#This Row],[BankId]]&lt;&gt;"","Matched",IF(tblLedger[[#This Row],[Amount]]&gt;0,"Deposit in transit","Outstanding payment"))</f>
        <v>Matched</v>
      </c>
      <c r="I47" s="10" t="str">
        <f>IF(tblLedger[[#This Row],[Status]]="Matched","",IF(tblLedger[[#This Row],[Status]]="Deposit in transit","Check it is credited on the January statement","Check it is debited on the January statement"))</f>
        <v/>
      </c>
      <c r="J47" s="10" t="str">
        <f>IF(tblLedger[[#This Row],[Status]]="Matched","",COUNTIF(tblBank[Status],"&lt;&gt;Matched")+COUNTIF(INDEX(tblLedger[Status],1):tblLedger[[#This Row],[Status]],"&lt;&gt;Matched"))</f>
        <v/>
      </c>
    </row>
    <row r="48" spans="1:10" x14ac:dyDescent="0.25">
      <c r="A48" s="10" t="s">
        <v>186</v>
      </c>
      <c r="B48" s="6">
        <v>45999</v>
      </c>
      <c r="C48" s="10" t="s">
        <v>187</v>
      </c>
      <c r="D48" s="10" t="s">
        <v>188</v>
      </c>
      <c r="E48" s="11">
        <v>354.76</v>
      </c>
      <c r="F48" s="10" t="b">
        <f>COUNTIF(tblBank[Reference],tblLedger[[#This Row],[Reference]])&gt;0</f>
        <v>1</v>
      </c>
      <c r="G48" s="10" t="str">
        <f>IFERROR(INDEX(tblBank[BankId],MATCH(tblLedger[[#This Row],[Entry]],tblBank[MatchedEntry],0)),"")</f>
        <v>B067</v>
      </c>
      <c r="H48" s="10" t="str">
        <f>IF(tblLedger[[#This Row],[BankId]]&lt;&gt;"","Matched",IF(tblLedger[[#This Row],[Amount]]&gt;0,"Deposit in transit","Outstanding payment"))</f>
        <v>Matched</v>
      </c>
      <c r="I48" s="10" t="str">
        <f>IF(tblLedger[[#This Row],[Status]]="Matched","",IF(tblLedger[[#This Row],[Status]]="Deposit in transit","Check it is credited on the January statement","Check it is debited on the January statement"))</f>
        <v/>
      </c>
      <c r="J48" s="10" t="str">
        <f>IF(tblLedger[[#This Row],[Status]]="Matched","",COUNTIF(tblBank[Status],"&lt;&gt;Matched")+COUNTIF(INDEX(tblLedger[Status],1):tblLedger[[#This Row],[Status]],"&lt;&gt;Matched"))</f>
        <v/>
      </c>
    </row>
    <row r="49" spans="1:10" x14ac:dyDescent="0.25">
      <c r="A49" s="10" t="s">
        <v>189</v>
      </c>
      <c r="B49" s="6">
        <v>45999</v>
      </c>
      <c r="C49" s="10" t="s">
        <v>190</v>
      </c>
      <c r="D49" s="10" t="s">
        <v>191</v>
      </c>
      <c r="E49" s="11">
        <v>127.9</v>
      </c>
      <c r="F49" s="10" t="b">
        <f>COUNTIF(tblBank[Reference],tblLedger[[#This Row],[Reference]])&gt;0</f>
        <v>1</v>
      </c>
      <c r="G49" s="10" t="str">
        <f>IFERROR(INDEX(tblBank[BankId],MATCH(tblLedger[[#This Row],[Entry]],tblBank[MatchedEntry],0)),"")</f>
        <v>B050</v>
      </c>
      <c r="H49" s="10" t="str">
        <f>IF(tblLedger[[#This Row],[BankId]]&lt;&gt;"","Matched",IF(tblLedger[[#This Row],[Amount]]&gt;0,"Deposit in transit","Outstanding payment"))</f>
        <v>Matched</v>
      </c>
      <c r="I49" s="10" t="str">
        <f>IF(tblLedger[[#This Row],[Status]]="Matched","",IF(tblLedger[[#This Row],[Status]]="Deposit in transit","Check it is credited on the January statement","Check it is debited on the January statement"))</f>
        <v/>
      </c>
      <c r="J49" s="10" t="str">
        <f>IF(tblLedger[[#This Row],[Status]]="Matched","",COUNTIF(tblBank[Status],"&lt;&gt;Matched")+COUNTIF(INDEX(tblLedger[Status],1):tblLedger[[#This Row],[Status]],"&lt;&gt;Matched"))</f>
        <v/>
      </c>
    </row>
    <row r="50" spans="1:10" x14ac:dyDescent="0.25">
      <c r="A50" s="10" t="s">
        <v>192</v>
      </c>
      <c r="B50" s="6">
        <v>45999</v>
      </c>
      <c r="C50" s="10" t="s">
        <v>193</v>
      </c>
      <c r="D50" s="10" t="s">
        <v>194</v>
      </c>
      <c r="E50" s="11">
        <v>238.54</v>
      </c>
      <c r="F50" s="10" t="b">
        <f>COUNTIF(tblBank[Reference],tblLedger[[#This Row],[Reference]])&gt;0</f>
        <v>1</v>
      </c>
      <c r="G50" s="10" t="str">
        <f>IFERROR(INDEX(tblBank[BankId],MATCH(tblLedger[[#This Row],[Entry]],tblBank[MatchedEntry],0)),"")</f>
        <v>B047</v>
      </c>
      <c r="H50" s="10" t="str">
        <f>IF(tblLedger[[#This Row],[BankId]]&lt;&gt;"","Matched",IF(tblLedger[[#This Row],[Amount]]&gt;0,"Deposit in transit","Outstanding payment"))</f>
        <v>Matched</v>
      </c>
      <c r="I50" s="10" t="str">
        <f>IF(tblLedger[[#This Row],[Status]]="Matched","",IF(tblLedger[[#This Row],[Status]]="Deposit in transit","Check it is credited on the January statement","Check it is debited on the January statement"))</f>
        <v/>
      </c>
      <c r="J50" s="10" t="str">
        <f>IF(tblLedger[[#This Row],[Status]]="Matched","",COUNTIF(tblBank[Status],"&lt;&gt;Matched")+COUNTIF(INDEX(tblLedger[Status],1):tblLedger[[#This Row],[Status]],"&lt;&gt;Matched"))</f>
        <v/>
      </c>
    </row>
    <row r="51" spans="1:10" x14ac:dyDescent="0.25">
      <c r="A51" s="10" t="s">
        <v>195</v>
      </c>
      <c r="B51" s="6">
        <v>45999</v>
      </c>
      <c r="C51" s="10" t="s">
        <v>196</v>
      </c>
      <c r="D51" s="10" t="s">
        <v>197</v>
      </c>
      <c r="E51" s="11">
        <v>4778.1400000000003</v>
      </c>
      <c r="F51" s="10" t="b">
        <f>COUNTIF(tblBank[Reference],tblLedger[[#This Row],[Reference]])&gt;0</f>
        <v>1</v>
      </c>
      <c r="G51" s="10" t="str">
        <f>IFERROR(INDEX(tblBank[BankId],MATCH(tblLedger[[#This Row],[Entry]],tblBank[MatchedEntry],0)),"")</f>
        <v>B056</v>
      </c>
      <c r="H51" s="10" t="str">
        <f>IF(tblLedger[[#This Row],[BankId]]&lt;&gt;"","Matched",IF(tblLedger[[#This Row],[Amount]]&gt;0,"Deposit in transit","Outstanding payment"))</f>
        <v>Matched</v>
      </c>
      <c r="I51" s="10" t="str">
        <f>IF(tblLedger[[#This Row],[Status]]="Matched","",IF(tblLedger[[#This Row],[Status]]="Deposit in transit","Check it is credited on the January statement","Check it is debited on the January statement"))</f>
        <v/>
      </c>
      <c r="J51" s="10" t="str">
        <f>IF(tblLedger[[#This Row],[Status]]="Matched","",COUNTIF(tblBank[Status],"&lt;&gt;Matched")+COUNTIF(INDEX(tblLedger[Status],1):tblLedger[[#This Row],[Status]],"&lt;&gt;Matched"))</f>
        <v/>
      </c>
    </row>
    <row r="52" spans="1:10" x14ac:dyDescent="0.25">
      <c r="A52" s="10" t="s">
        <v>198</v>
      </c>
      <c r="B52" s="6">
        <v>45999</v>
      </c>
      <c r="C52" s="10" t="s">
        <v>199</v>
      </c>
      <c r="D52" s="10" t="s">
        <v>200</v>
      </c>
      <c r="E52" s="11">
        <v>10031.65</v>
      </c>
      <c r="F52" s="10" t="b">
        <f>COUNTIF(tblBank[Reference],tblLedger[[#This Row],[Reference]])&gt;0</f>
        <v>1</v>
      </c>
      <c r="G52" s="10" t="str">
        <f>IFERROR(INDEX(tblBank[BankId],MATCH(tblLedger[[#This Row],[Entry]],tblBank[MatchedEntry],0)),"")</f>
        <v>B059</v>
      </c>
      <c r="H52" s="10" t="str">
        <f>IF(tblLedger[[#This Row],[BankId]]&lt;&gt;"","Matched",IF(tblLedger[[#This Row],[Amount]]&gt;0,"Deposit in transit","Outstanding payment"))</f>
        <v>Matched</v>
      </c>
      <c r="I52" s="10" t="str">
        <f>IF(tblLedger[[#This Row],[Status]]="Matched","",IF(tblLedger[[#This Row],[Status]]="Deposit in transit","Check it is credited on the January statement","Check it is debited on the January statement"))</f>
        <v/>
      </c>
      <c r="J52" s="10" t="str">
        <f>IF(tblLedger[[#This Row],[Status]]="Matched","",COUNTIF(tblBank[Status],"&lt;&gt;Matched")+COUNTIF(INDEX(tblLedger[Status],1):tblLedger[[#This Row],[Status]],"&lt;&gt;Matched"))</f>
        <v/>
      </c>
    </row>
    <row r="53" spans="1:10" x14ac:dyDescent="0.25">
      <c r="A53" s="10" t="s">
        <v>201</v>
      </c>
      <c r="B53" s="6">
        <v>45999</v>
      </c>
      <c r="C53" s="10" t="s">
        <v>202</v>
      </c>
      <c r="D53" s="10" t="s">
        <v>203</v>
      </c>
      <c r="E53" s="11">
        <v>-197.75</v>
      </c>
      <c r="F53" s="10" t="b">
        <f>COUNTIF(tblBank[Reference],tblLedger[[#This Row],[Reference]])&gt;0</f>
        <v>0</v>
      </c>
      <c r="G53" s="10" t="str">
        <f>IFERROR(INDEX(tblBank[BankId],MATCH(tblLedger[[#This Row],[Entry]],tblBank[MatchedEntry],0)),"")</f>
        <v>B070</v>
      </c>
      <c r="H53" s="10" t="str">
        <f>IF(tblLedger[[#This Row],[BankId]]&lt;&gt;"","Matched",IF(tblLedger[[#This Row],[Amount]]&gt;0,"Deposit in transit","Outstanding payment"))</f>
        <v>Matched</v>
      </c>
      <c r="I53" s="10" t="str">
        <f>IF(tblLedger[[#This Row],[Status]]="Matched","",IF(tblLedger[[#This Row],[Status]]="Deposit in transit","Check it is credited on the January statement","Check it is debited on the January statement"))</f>
        <v/>
      </c>
      <c r="J53" s="10" t="str">
        <f>IF(tblLedger[[#This Row],[Status]]="Matched","",COUNTIF(tblBank[Status],"&lt;&gt;Matched")+COUNTIF(INDEX(tblLedger[Status],1):tblLedger[[#This Row],[Status]],"&lt;&gt;Matched"))</f>
        <v/>
      </c>
    </row>
    <row r="54" spans="1:10" x14ac:dyDescent="0.25">
      <c r="A54" s="10" t="s">
        <v>204</v>
      </c>
      <c r="B54" s="6">
        <v>45999</v>
      </c>
      <c r="C54" s="10" t="s">
        <v>205</v>
      </c>
      <c r="D54" s="10" t="s">
        <v>206</v>
      </c>
      <c r="E54" s="11">
        <v>611.29999999999995</v>
      </c>
      <c r="F54" s="10" t="b">
        <f>COUNTIF(tblBank[Reference],tblLedger[[#This Row],[Reference]])&gt;0</f>
        <v>1</v>
      </c>
      <c r="G54" s="10" t="str">
        <f>IFERROR(INDEX(tblBank[BankId],MATCH(tblLedger[[#This Row],[Entry]],tblBank[MatchedEntry],0)),"")</f>
        <v>B060</v>
      </c>
      <c r="H54" s="10" t="str">
        <f>IF(tblLedger[[#This Row],[BankId]]&lt;&gt;"","Matched",IF(tblLedger[[#This Row],[Amount]]&gt;0,"Deposit in transit","Outstanding payment"))</f>
        <v>Matched</v>
      </c>
      <c r="I54" s="10" t="str">
        <f>IF(tblLedger[[#This Row],[Status]]="Matched","",IF(tblLedger[[#This Row],[Status]]="Deposit in transit","Check it is credited on the January statement","Check it is debited on the January statement"))</f>
        <v/>
      </c>
      <c r="J54" s="10" t="str">
        <f>IF(tblLedger[[#This Row],[Status]]="Matched","",COUNTIF(tblBank[Status],"&lt;&gt;Matched")+COUNTIF(INDEX(tblLedger[Status],1):tblLedger[[#This Row],[Status]],"&lt;&gt;Matched"))</f>
        <v/>
      </c>
    </row>
    <row r="55" spans="1:10" x14ac:dyDescent="0.25">
      <c r="A55" s="10" t="s">
        <v>207</v>
      </c>
      <c r="B55" s="6">
        <v>45999</v>
      </c>
      <c r="C55" s="10" t="s">
        <v>208</v>
      </c>
      <c r="D55" s="10" t="s">
        <v>209</v>
      </c>
      <c r="E55" s="11">
        <v>965.6</v>
      </c>
      <c r="F55" s="10" t="b">
        <f>COUNTIF(tblBank[Reference],tblLedger[[#This Row],[Reference]])&gt;0</f>
        <v>1</v>
      </c>
      <c r="G55" s="10" t="str">
        <f>IFERROR(INDEX(tblBank[BankId],MATCH(tblLedger[[#This Row],[Entry]],tblBank[MatchedEntry],0)),"")</f>
        <v>B053</v>
      </c>
      <c r="H55" s="10" t="str">
        <f>IF(tblLedger[[#This Row],[BankId]]&lt;&gt;"","Matched",IF(tblLedger[[#This Row],[Amount]]&gt;0,"Deposit in transit","Outstanding payment"))</f>
        <v>Matched</v>
      </c>
      <c r="I55" s="10" t="str">
        <f>IF(tblLedger[[#This Row],[Status]]="Matched","",IF(tblLedger[[#This Row],[Status]]="Deposit in transit","Check it is credited on the January statement","Check it is debited on the January statement"))</f>
        <v/>
      </c>
      <c r="J55" s="10" t="str">
        <f>IF(tblLedger[[#This Row],[Status]]="Matched","",COUNTIF(tblBank[Status],"&lt;&gt;Matched")+COUNTIF(INDEX(tblLedger[Status],1):tblLedger[[#This Row],[Status]],"&lt;&gt;Matched"))</f>
        <v/>
      </c>
    </row>
    <row r="56" spans="1:10" x14ac:dyDescent="0.25">
      <c r="A56" s="10" t="s">
        <v>210</v>
      </c>
      <c r="B56" s="6">
        <v>45999</v>
      </c>
      <c r="C56" s="10" t="s">
        <v>211</v>
      </c>
      <c r="D56" s="10" t="s">
        <v>212</v>
      </c>
      <c r="E56" s="11">
        <v>3626.35</v>
      </c>
      <c r="F56" s="10" t="b">
        <f>COUNTIF(tblBank[Reference],tblLedger[[#This Row],[Reference]])&gt;0</f>
        <v>1</v>
      </c>
      <c r="G56" s="10" t="str">
        <f>IFERROR(INDEX(tblBank[BankId],MATCH(tblLedger[[#This Row],[Entry]],tblBank[MatchedEntry],0)),"")</f>
        <v>B055</v>
      </c>
      <c r="H56" s="10" t="str">
        <f>IF(tblLedger[[#This Row],[BankId]]&lt;&gt;"","Matched",IF(tblLedger[[#This Row],[Amount]]&gt;0,"Deposit in transit","Outstanding payment"))</f>
        <v>Matched</v>
      </c>
      <c r="I56" s="10" t="str">
        <f>IF(tblLedger[[#This Row],[Status]]="Matched","",IF(tblLedger[[#This Row],[Status]]="Deposit in transit","Check it is credited on the January statement","Check it is debited on the January statement"))</f>
        <v/>
      </c>
      <c r="J56" s="10" t="str">
        <f>IF(tblLedger[[#This Row],[Status]]="Matched","",COUNTIF(tblBank[Status],"&lt;&gt;Matched")+COUNTIF(INDEX(tblLedger[Status],1):tblLedger[[#This Row],[Status]],"&lt;&gt;Matched"))</f>
        <v/>
      </c>
    </row>
    <row r="57" spans="1:10" x14ac:dyDescent="0.25">
      <c r="A57" s="10" t="s">
        <v>213</v>
      </c>
      <c r="B57" s="6">
        <v>45999</v>
      </c>
      <c r="C57" s="10" t="s">
        <v>214</v>
      </c>
      <c r="D57" s="10" t="s">
        <v>215</v>
      </c>
      <c r="E57" s="11">
        <v>-16942.97</v>
      </c>
      <c r="F57" s="10" t="b">
        <f>COUNTIF(tblBank[Reference],tblLedger[[#This Row],[Reference]])&gt;0</f>
        <v>1</v>
      </c>
      <c r="G57" s="10" t="str">
        <f>IFERROR(INDEX(tblBank[BankId],MATCH(tblLedger[[#This Row],[Entry]],tblBank[MatchedEntry],0)),"")</f>
        <v>B046</v>
      </c>
      <c r="H57" s="10" t="str">
        <f>IF(tblLedger[[#This Row],[BankId]]&lt;&gt;"","Matched",IF(tblLedger[[#This Row],[Amount]]&gt;0,"Deposit in transit","Outstanding payment"))</f>
        <v>Matched</v>
      </c>
      <c r="I57" s="10" t="str">
        <f>IF(tblLedger[[#This Row],[Status]]="Matched","",IF(tblLedger[[#This Row],[Status]]="Deposit in transit","Check it is credited on the January statement","Check it is debited on the January statement"))</f>
        <v/>
      </c>
      <c r="J57" s="10" t="str">
        <f>IF(tblLedger[[#This Row],[Status]]="Matched","",COUNTIF(tblBank[Status],"&lt;&gt;Matched")+COUNTIF(INDEX(tblLedger[Status],1):tblLedger[[#This Row],[Status]],"&lt;&gt;Matched"))</f>
        <v/>
      </c>
    </row>
    <row r="58" spans="1:10" x14ac:dyDescent="0.25">
      <c r="A58" s="10" t="s">
        <v>216</v>
      </c>
      <c r="B58" s="6">
        <v>45999</v>
      </c>
      <c r="C58" s="10" t="s">
        <v>217</v>
      </c>
      <c r="D58" s="10" t="s">
        <v>218</v>
      </c>
      <c r="E58" s="11">
        <v>1803.66</v>
      </c>
      <c r="F58" s="10" t="b">
        <f>COUNTIF(tblBank[Reference],tblLedger[[#This Row],[Reference]])&gt;0</f>
        <v>1</v>
      </c>
      <c r="G58" s="10" t="str">
        <f>IFERROR(INDEX(tblBank[BankId],MATCH(tblLedger[[#This Row],[Entry]],tblBank[MatchedEntry],0)),"")</f>
        <v>B051</v>
      </c>
      <c r="H58" s="10" t="str">
        <f>IF(tblLedger[[#This Row],[BankId]]&lt;&gt;"","Matched",IF(tblLedger[[#This Row],[Amount]]&gt;0,"Deposit in transit","Outstanding payment"))</f>
        <v>Matched</v>
      </c>
      <c r="I58" s="10" t="str">
        <f>IF(tblLedger[[#This Row],[Status]]="Matched","",IF(tblLedger[[#This Row],[Status]]="Deposit in transit","Check it is credited on the January statement","Check it is debited on the January statement"))</f>
        <v/>
      </c>
      <c r="J58" s="10" t="str">
        <f>IF(tblLedger[[#This Row],[Status]]="Matched","",COUNTIF(tblBank[Status],"&lt;&gt;Matched")+COUNTIF(INDEX(tblLedger[Status],1):tblLedger[[#This Row],[Status]],"&lt;&gt;Matched"))</f>
        <v/>
      </c>
    </row>
    <row r="59" spans="1:10" x14ac:dyDescent="0.25">
      <c r="A59" s="10" t="s">
        <v>219</v>
      </c>
      <c r="B59" s="6">
        <v>45999</v>
      </c>
      <c r="C59" s="10" t="s">
        <v>220</v>
      </c>
      <c r="D59" s="10" t="s">
        <v>221</v>
      </c>
      <c r="E59" s="11">
        <v>-726.82</v>
      </c>
      <c r="F59" s="10" t="b">
        <f>COUNTIF(tblBank[Reference],tblLedger[[#This Row],[Reference]])&gt;0</f>
        <v>1</v>
      </c>
      <c r="G59" s="10" t="str">
        <f>IFERROR(INDEX(tblBank[BankId],MATCH(tblLedger[[#This Row],[Entry]],tblBank[MatchedEntry],0)),"")</f>
        <v>B069</v>
      </c>
      <c r="H59" s="10" t="str">
        <f>IF(tblLedger[[#This Row],[BankId]]&lt;&gt;"","Matched",IF(tblLedger[[#This Row],[Amount]]&gt;0,"Deposit in transit","Outstanding payment"))</f>
        <v>Matched</v>
      </c>
      <c r="I59" s="10" t="str">
        <f>IF(tblLedger[[#This Row],[Status]]="Matched","",IF(tblLedger[[#This Row],[Status]]="Deposit in transit","Check it is credited on the January statement","Check it is debited on the January statement"))</f>
        <v/>
      </c>
      <c r="J59" s="10" t="str">
        <f>IF(tblLedger[[#This Row],[Status]]="Matched","",COUNTIF(tblBank[Status],"&lt;&gt;Matched")+COUNTIF(INDEX(tblLedger[Status],1):tblLedger[[#This Row],[Status]],"&lt;&gt;Matched"))</f>
        <v/>
      </c>
    </row>
    <row r="60" spans="1:10" x14ac:dyDescent="0.25">
      <c r="A60" s="10" t="s">
        <v>222</v>
      </c>
      <c r="B60" s="6">
        <v>45999</v>
      </c>
      <c r="C60" s="10" t="s">
        <v>223</v>
      </c>
      <c r="D60" s="10" t="s">
        <v>224</v>
      </c>
      <c r="E60" s="11">
        <v>5864.7</v>
      </c>
      <c r="F60" s="10" t="b">
        <f>COUNTIF(tblBank[Reference],tblLedger[[#This Row],[Reference]])&gt;0</f>
        <v>1</v>
      </c>
      <c r="G60" s="10" t="str">
        <f>IFERROR(INDEX(tblBank[BankId],MATCH(tblLedger[[#This Row],[Entry]],tblBank[MatchedEntry],0)),"")</f>
        <v>B063</v>
      </c>
      <c r="H60" s="10" t="str">
        <f>IF(tblLedger[[#This Row],[BankId]]&lt;&gt;"","Matched",IF(tblLedger[[#This Row],[Amount]]&gt;0,"Deposit in transit","Outstanding payment"))</f>
        <v>Matched</v>
      </c>
      <c r="I60" s="10" t="str">
        <f>IF(tblLedger[[#This Row],[Status]]="Matched","",IF(tblLedger[[#This Row],[Status]]="Deposit in transit","Check it is credited on the January statement","Check it is debited on the January statement"))</f>
        <v/>
      </c>
      <c r="J60" s="10" t="str">
        <f>IF(tblLedger[[#This Row],[Status]]="Matched","",COUNTIF(tblBank[Status],"&lt;&gt;Matched")+COUNTIF(INDEX(tblLedger[Status],1):tblLedger[[#This Row],[Status]],"&lt;&gt;Matched"))</f>
        <v/>
      </c>
    </row>
    <row r="61" spans="1:10" x14ac:dyDescent="0.25">
      <c r="A61" s="10" t="s">
        <v>225</v>
      </c>
      <c r="B61" s="6">
        <v>45999</v>
      </c>
      <c r="C61" s="10" t="s">
        <v>226</v>
      </c>
      <c r="D61" s="10" t="s">
        <v>227</v>
      </c>
      <c r="E61" s="11">
        <v>-817.16</v>
      </c>
      <c r="F61" s="10" t="b">
        <f>COUNTIF(tblBank[Reference],tblLedger[[#This Row],[Reference]])&gt;0</f>
        <v>1</v>
      </c>
      <c r="G61" s="10" t="str">
        <f>IFERROR(INDEX(tblBank[BankId],MATCH(tblLedger[[#This Row],[Entry]],tblBank[MatchedEntry],0)),"")</f>
        <v>B071</v>
      </c>
      <c r="H61" s="10" t="str">
        <f>IF(tblLedger[[#This Row],[BankId]]&lt;&gt;"","Matched",IF(tblLedger[[#This Row],[Amount]]&gt;0,"Deposit in transit","Outstanding payment"))</f>
        <v>Matched</v>
      </c>
      <c r="I61" s="10" t="str">
        <f>IF(tblLedger[[#This Row],[Status]]="Matched","",IF(tblLedger[[#This Row],[Status]]="Deposit in transit","Check it is credited on the January statement","Check it is debited on the January statement"))</f>
        <v/>
      </c>
      <c r="J61" s="10" t="str">
        <f>IF(tblLedger[[#This Row],[Status]]="Matched","",COUNTIF(tblBank[Status],"&lt;&gt;Matched")+COUNTIF(INDEX(tblLedger[Status],1):tblLedger[[#This Row],[Status]],"&lt;&gt;Matched"))</f>
        <v/>
      </c>
    </row>
    <row r="62" spans="1:10" x14ac:dyDescent="0.25">
      <c r="A62" s="10" t="s">
        <v>228</v>
      </c>
      <c r="B62" s="6">
        <v>45999</v>
      </c>
      <c r="C62" s="10" t="s">
        <v>229</v>
      </c>
      <c r="D62" s="10" t="s">
        <v>230</v>
      </c>
      <c r="E62" s="11">
        <v>4389.5600000000004</v>
      </c>
      <c r="F62" s="10" t="b">
        <f>COUNTIF(tblBank[Reference],tblLedger[[#This Row],[Reference]])&gt;0</f>
        <v>1</v>
      </c>
      <c r="G62" s="10" t="str">
        <f>IFERROR(INDEX(tblBank[BankId],MATCH(tblLedger[[#This Row],[Entry]],tblBank[MatchedEntry],0)),"")</f>
        <v>B049</v>
      </c>
      <c r="H62" s="10" t="str">
        <f>IF(tblLedger[[#This Row],[BankId]]&lt;&gt;"","Matched",IF(tblLedger[[#This Row],[Amount]]&gt;0,"Deposit in transit","Outstanding payment"))</f>
        <v>Matched</v>
      </c>
      <c r="I62" s="10" t="str">
        <f>IF(tblLedger[[#This Row],[Status]]="Matched","",IF(tblLedger[[#This Row],[Status]]="Deposit in transit","Check it is credited on the January statement","Check it is debited on the January statement"))</f>
        <v/>
      </c>
      <c r="J62" s="10" t="str">
        <f>IF(tblLedger[[#This Row],[Status]]="Matched","",COUNTIF(tblBank[Status],"&lt;&gt;Matched")+COUNTIF(INDEX(tblLedger[Status],1):tblLedger[[#This Row],[Status]],"&lt;&gt;Matched"))</f>
        <v/>
      </c>
    </row>
    <row r="63" spans="1:10" x14ac:dyDescent="0.25">
      <c r="A63" s="10" t="s">
        <v>231</v>
      </c>
      <c r="B63" s="6">
        <v>45999</v>
      </c>
      <c r="C63" s="10" t="s">
        <v>232</v>
      </c>
      <c r="D63" s="10" t="s">
        <v>233</v>
      </c>
      <c r="E63" s="11">
        <v>936.55</v>
      </c>
      <c r="F63" s="10" t="b">
        <f>COUNTIF(tblBank[Reference],tblLedger[[#This Row],[Reference]])&gt;0</f>
        <v>1</v>
      </c>
      <c r="G63" s="10" t="str">
        <f>IFERROR(INDEX(tblBank[BankId],MATCH(tblLedger[[#This Row],[Entry]],tblBank[MatchedEntry],0)),"")</f>
        <v>B054</v>
      </c>
      <c r="H63" s="10" t="str">
        <f>IF(tblLedger[[#This Row],[BankId]]&lt;&gt;"","Matched",IF(tblLedger[[#This Row],[Amount]]&gt;0,"Deposit in transit","Outstanding payment"))</f>
        <v>Matched</v>
      </c>
      <c r="I63" s="10" t="str">
        <f>IF(tblLedger[[#This Row],[Status]]="Matched","",IF(tblLedger[[#This Row],[Status]]="Deposit in transit","Check it is credited on the January statement","Check it is debited on the January statement"))</f>
        <v/>
      </c>
      <c r="J63" s="10" t="str">
        <f>IF(tblLedger[[#This Row],[Status]]="Matched","",COUNTIF(tblBank[Status],"&lt;&gt;Matched")+COUNTIF(INDEX(tblLedger[Status],1):tblLedger[[#This Row],[Status]],"&lt;&gt;Matched"))</f>
        <v/>
      </c>
    </row>
    <row r="64" spans="1:10" x14ac:dyDescent="0.25">
      <c r="A64" s="10" t="s">
        <v>234</v>
      </c>
      <c r="B64" s="6">
        <v>45999</v>
      </c>
      <c r="C64" s="10" t="s">
        <v>235</v>
      </c>
      <c r="D64" s="10" t="s">
        <v>236</v>
      </c>
      <c r="E64" s="11">
        <v>273.89</v>
      </c>
      <c r="F64" s="10" t="b">
        <f>COUNTIF(tblBank[Reference],tblLedger[[#This Row],[Reference]])&gt;0</f>
        <v>1</v>
      </c>
      <c r="G64" s="10" t="str">
        <f>IFERROR(INDEX(tblBank[BankId],MATCH(tblLedger[[#This Row],[Entry]],tblBank[MatchedEntry],0)),"")</f>
        <v>B062</v>
      </c>
      <c r="H64" s="10" t="str">
        <f>IF(tblLedger[[#This Row],[BankId]]&lt;&gt;"","Matched",IF(tblLedger[[#This Row],[Amount]]&gt;0,"Deposit in transit","Outstanding payment"))</f>
        <v>Matched</v>
      </c>
      <c r="I64" s="10" t="str">
        <f>IF(tblLedger[[#This Row],[Status]]="Matched","",IF(tblLedger[[#This Row],[Status]]="Deposit in transit","Check it is credited on the January statement","Check it is debited on the January statement"))</f>
        <v/>
      </c>
      <c r="J64" s="10" t="str">
        <f>IF(tblLedger[[#This Row],[Status]]="Matched","",COUNTIF(tblBank[Status],"&lt;&gt;Matched")+COUNTIF(INDEX(tblLedger[Status],1):tblLedger[[#This Row],[Status]],"&lt;&gt;Matched"))</f>
        <v/>
      </c>
    </row>
    <row r="65" spans="1:10" x14ac:dyDescent="0.25">
      <c r="A65" s="10" t="s">
        <v>237</v>
      </c>
      <c r="B65" s="6">
        <v>45999</v>
      </c>
      <c r="C65" s="10" t="s">
        <v>238</v>
      </c>
      <c r="D65" s="10" t="s">
        <v>239</v>
      </c>
      <c r="E65" s="11">
        <v>357.23</v>
      </c>
      <c r="F65" s="10" t="b">
        <f>COUNTIF(tblBank[Reference],tblLedger[[#This Row],[Reference]])&gt;0</f>
        <v>1</v>
      </c>
      <c r="G65" s="10" t="str">
        <f>IFERROR(INDEX(tblBank[BankId],MATCH(tblLedger[[#This Row],[Entry]],tblBank[MatchedEntry],0)),"")</f>
        <v>B058</v>
      </c>
      <c r="H65" s="10" t="str">
        <f>IF(tblLedger[[#This Row],[BankId]]&lt;&gt;"","Matched",IF(tblLedger[[#This Row],[Amount]]&gt;0,"Deposit in transit","Outstanding payment"))</f>
        <v>Matched</v>
      </c>
      <c r="I65" s="10" t="str">
        <f>IF(tblLedger[[#This Row],[Status]]="Matched","",IF(tblLedger[[#This Row],[Status]]="Deposit in transit","Check it is credited on the January statement","Check it is debited on the January statement"))</f>
        <v/>
      </c>
      <c r="J65" s="10" t="str">
        <f>IF(tblLedger[[#This Row],[Status]]="Matched","",COUNTIF(tblBank[Status],"&lt;&gt;Matched")+COUNTIF(INDEX(tblLedger[Status],1):tblLedger[[#This Row],[Status]],"&lt;&gt;Matched"))</f>
        <v/>
      </c>
    </row>
    <row r="66" spans="1:10" x14ac:dyDescent="0.25">
      <c r="A66" s="10" t="s">
        <v>240</v>
      </c>
      <c r="B66" s="6">
        <v>45999</v>
      </c>
      <c r="C66" s="10" t="s">
        <v>241</v>
      </c>
      <c r="D66" s="10" t="s">
        <v>242</v>
      </c>
      <c r="E66" s="11">
        <v>393.95</v>
      </c>
      <c r="F66" s="10" t="b">
        <f>COUNTIF(tblBank[Reference],tblLedger[[#This Row],[Reference]])&gt;0</f>
        <v>1</v>
      </c>
      <c r="G66" s="10" t="str">
        <f>IFERROR(INDEX(tblBank[BankId],MATCH(tblLedger[[#This Row],[Entry]],tblBank[MatchedEntry],0)),"")</f>
        <v>B061</v>
      </c>
      <c r="H66" s="10" t="str">
        <f>IF(tblLedger[[#This Row],[BankId]]&lt;&gt;"","Matched",IF(tblLedger[[#This Row],[Amount]]&gt;0,"Deposit in transit","Outstanding payment"))</f>
        <v>Matched</v>
      </c>
      <c r="I66" s="10" t="str">
        <f>IF(tblLedger[[#This Row],[Status]]="Matched","",IF(tblLedger[[#This Row],[Status]]="Deposit in transit","Check it is credited on the January statement","Check it is debited on the January statement"))</f>
        <v/>
      </c>
      <c r="J66" s="10" t="str">
        <f>IF(tblLedger[[#This Row],[Status]]="Matched","",COUNTIF(tblBank[Status],"&lt;&gt;Matched")+COUNTIF(INDEX(tblLedger[Status],1):tblLedger[[#This Row],[Status]],"&lt;&gt;Matched"))</f>
        <v/>
      </c>
    </row>
    <row r="67" spans="1:10" x14ac:dyDescent="0.25">
      <c r="A67" s="10" t="s">
        <v>243</v>
      </c>
      <c r="B67" s="6">
        <v>45999</v>
      </c>
      <c r="C67" s="10" t="s">
        <v>244</v>
      </c>
      <c r="D67" s="10" t="s">
        <v>245</v>
      </c>
      <c r="E67" s="11">
        <v>205.33</v>
      </c>
      <c r="F67" s="10" t="b">
        <f>COUNTIF(tblBank[Reference],tblLedger[[#This Row],[Reference]])&gt;0</f>
        <v>1</v>
      </c>
      <c r="G67" s="10" t="str">
        <f>IFERROR(INDEX(tblBank[BankId],MATCH(tblLedger[[#This Row],[Entry]],tblBank[MatchedEntry],0)),"")</f>
        <v>B048</v>
      </c>
      <c r="H67" s="10" t="str">
        <f>IF(tblLedger[[#This Row],[BankId]]&lt;&gt;"","Matched",IF(tblLedger[[#This Row],[Amount]]&gt;0,"Deposit in transit","Outstanding payment"))</f>
        <v>Matched</v>
      </c>
      <c r="I67" s="10" t="str">
        <f>IF(tblLedger[[#This Row],[Status]]="Matched","",IF(tblLedger[[#This Row],[Status]]="Deposit in transit","Check it is credited on the January statement","Check it is debited on the January statement"))</f>
        <v/>
      </c>
      <c r="J67" s="10" t="str">
        <f>IF(tblLedger[[#This Row],[Status]]="Matched","",COUNTIF(tblBank[Status],"&lt;&gt;Matched")+COUNTIF(INDEX(tblLedger[Status],1):tblLedger[[#This Row],[Status]],"&lt;&gt;Matched"))</f>
        <v/>
      </c>
    </row>
    <row r="68" spans="1:10" x14ac:dyDescent="0.25">
      <c r="A68" s="10" t="s">
        <v>246</v>
      </c>
      <c r="B68" s="6">
        <v>45999</v>
      </c>
      <c r="C68" s="10" t="s">
        <v>247</v>
      </c>
      <c r="D68" s="10" t="s">
        <v>248</v>
      </c>
      <c r="E68" s="11">
        <v>-20427.14</v>
      </c>
      <c r="F68" s="10" t="b">
        <f>COUNTIF(tblBank[Reference],tblLedger[[#This Row],[Reference]])&gt;0</f>
        <v>1</v>
      </c>
      <c r="G68" s="10" t="str">
        <f>IFERROR(INDEX(tblBank[BankId],MATCH(tblLedger[[#This Row],[Entry]],tblBank[MatchedEntry],0)),"")</f>
        <v>B079</v>
      </c>
      <c r="H68" s="10" t="str">
        <f>IF(tblLedger[[#This Row],[BankId]]&lt;&gt;"","Matched",IF(tblLedger[[#This Row],[Amount]]&gt;0,"Deposit in transit","Outstanding payment"))</f>
        <v>Matched</v>
      </c>
      <c r="I68" s="10" t="str">
        <f>IF(tblLedger[[#This Row],[Status]]="Matched","",IF(tblLedger[[#This Row],[Status]]="Deposit in transit","Check it is credited on the January statement","Check it is debited on the January statement"))</f>
        <v/>
      </c>
      <c r="J68" s="10" t="str">
        <f>IF(tblLedger[[#This Row],[Status]]="Matched","",COUNTIF(tblBank[Status],"&lt;&gt;Matched")+COUNTIF(INDEX(tblLedger[Status],1):tblLedger[[#This Row],[Status]],"&lt;&gt;Matched"))</f>
        <v/>
      </c>
    </row>
    <row r="69" spans="1:10" x14ac:dyDescent="0.25">
      <c r="A69" s="10" t="s">
        <v>249</v>
      </c>
      <c r="B69" s="6">
        <v>45999</v>
      </c>
      <c r="C69" s="10" t="s">
        <v>250</v>
      </c>
      <c r="D69" s="10" t="s">
        <v>251</v>
      </c>
      <c r="E69" s="11">
        <v>-5616.62</v>
      </c>
      <c r="F69" s="10" t="b">
        <f>COUNTIF(tblBank[Reference],tblLedger[[#This Row],[Reference]])&gt;0</f>
        <v>0</v>
      </c>
      <c r="G69" s="10" t="str">
        <f>IFERROR(INDEX(tblBank[BankId],MATCH(tblLedger[[#This Row],[Entry]],tblBank[MatchedEntry],0)),"")</f>
        <v>B084</v>
      </c>
      <c r="H69" s="10" t="str">
        <f>IF(tblLedger[[#This Row],[BankId]]&lt;&gt;"","Matched",IF(tblLedger[[#This Row],[Amount]]&gt;0,"Deposit in transit","Outstanding payment"))</f>
        <v>Matched</v>
      </c>
      <c r="I69" s="10" t="str">
        <f>IF(tblLedger[[#This Row],[Status]]="Matched","",IF(tblLedger[[#This Row],[Status]]="Deposit in transit","Check it is credited on the January statement","Check it is debited on the January statement"))</f>
        <v/>
      </c>
      <c r="J69" s="10" t="str">
        <f>IF(tblLedger[[#This Row],[Status]]="Matched","",COUNTIF(tblBank[Status],"&lt;&gt;Matched")+COUNTIF(INDEX(tblLedger[Status],1):tblLedger[[#This Row],[Status]],"&lt;&gt;Matched"))</f>
        <v/>
      </c>
    </row>
    <row r="70" spans="1:10" x14ac:dyDescent="0.25">
      <c r="A70" s="10" t="s">
        <v>252</v>
      </c>
      <c r="B70" s="6">
        <v>45999</v>
      </c>
      <c r="C70" s="10" t="s">
        <v>253</v>
      </c>
      <c r="D70" s="10" t="s">
        <v>254</v>
      </c>
      <c r="E70" s="11">
        <v>172.64</v>
      </c>
      <c r="F70" s="10" t="b">
        <f>COUNTIF(tblBank[Reference],tblLedger[[#This Row],[Reference]])&gt;0</f>
        <v>0</v>
      </c>
      <c r="G70" s="10" t="str">
        <f>IFERROR(INDEX(tblBank[BankId],MATCH(tblLedger[[#This Row],[Entry]],tblBank[MatchedEntry],0)),"")</f>
        <v>B064</v>
      </c>
      <c r="H70" s="10" t="str">
        <f>IF(tblLedger[[#This Row],[BankId]]&lt;&gt;"","Matched",IF(tblLedger[[#This Row],[Amount]]&gt;0,"Deposit in transit","Outstanding payment"))</f>
        <v>Matched</v>
      </c>
      <c r="I70" s="10" t="str">
        <f>IF(tblLedger[[#This Row],[Status]]="Matched","",IF(tblLedger[[#This Row],[Status]]="Deposit in transit","Check it is credited on the January statement","Check it is debited on the January statement"))</f>
        <v/>
      </c>
      <c r="J70" s="10" t="str">
        <f>IF(tblLedger[[#This Row],[Status]]="Matched","",COUNTIF(tblBank[Status],"&lt;&gt;Matched")+COUNTIF(INDEX(tblLedger[Status],1):tblLedger[[#This Row],[Status]],"&lt;&gt;Matched"))</f>
        <v/>
      </c>
    </row>
    <row r="71" spans="1:10" x14ac:dyDescent="0.25">
      <c r="A71" s="10" t="s">
        <v>255</v>
      </c>
      <c r="B71" s="6">
        <v>45999</v>
      </c>
      <c r="C71" s="10" t="s">
        <v>256</v>
      </c>
      <c r="D71" s="10" t="s">
        <v>257</v>
      </c>
      <c r="E71" s="11">
        <v>1692.71</v>
      </c>
      <c r="F71" s="10" t="b">
        <f>COUNTIF(tblBank[Reference],tblLedger[[#This Row],[Reference]])&gt;0</f>
        <v>1</v>
      </c>
      <c r="G71" s="10" t="str">
        <f>IFERROR(INDEX(tblBank[BankId],MATCH(tblLedger[[#This Row],[Entry]],tblBank[MatchedEntry],0)),"")</f>
        <v>B057</v>
      </c>
      <c r="H71" s="10" t="str">
        <f>IF(tblLedger[[#This Row],[BankId]]&lt;&gt;"","Matched",IF(tblLedger[[#This Row],[Amount]]&gt;0,"Deposit in transit","Outstanding payment"))</f>
        <v>Matched</v>
      </c>
      <c r="I71" s="10" t="str">
        <f>IF(tblLedger[[#This Row],[Status]]="Matched","",IF(tblLedger[[#This Row],[Status]]="Deposit in transit","Check it is credited on the January statement","Check it is debited on the January statement"))</f>
        <v/>
      </c>
      <c r="J71" s="10" t="str">
        <f>IF(tblLedger[[#This Row],[Status]]="Matched","",COUNTIF(tblBank[Status],"&lt;&gt;Matched")+COUNTIF(INDEX(tblLedger[Status],1):tblLedger[[#This Row],[Status]],"&lt;&gt;Matched"))</f>
        <v/>
      </c>
    </row>
    <row r="72" spans="1:10" x14ac:dyDescent="0.25">
      <c r="A72" s="10" t="s">
        <v>258</v>
      </c>
      <c r="B72" s="6">
        <v>45999</v>
      </c>
      <c r="C72" s="10" t="s">
        <v>259</v>
      </c>
      <c r="D72" s="10" t="s">
        <v>260</v>
      </c>
      <c r="E72" s="11">
        <v>672.55</v>
      </c>
      <c r="F72" s="10" t="b">
        <f>COUNTIF(tblBank[Reference],tblLedger[[#This Row],[Reference]])&gt;0</f>
        <v>1</v>
      </c>
      <c r="G72" s="10" t="str">
        <f>IFERROR(INDEX(tblBank[BankId],MATCH(tblLedger[[#This Row],[Entry]],tblBank[MatchedEntry],0)),"")</f>
        <v>B052</v>
      </c>
      <c r="H72" s="10" t="str">
        <f>IF(tblLedger[[#This Row],[BankId]]&lt;&gt;"","Matched",IF(tblLedger[[#This Row],[Amount]]&gt;0,"Deposit in transit","Outstanding payment"))</f>
        <v>Matched</v>
      </c>
      <c r="I72" s="10" t="str">
        <f>IF(tblLedger[[#This Row],[Status]]="Matched","",IF(tblLedger[[#This Row],[Status]]="Deposit in transit","Check it is credited on the January statement","Check it is debited on the January statement"))</f>
        <v/>
      </c>
      <c r="J72" s="10" t="str">
        <f>IF(tblLedger[[#This Row],[Status]]="Matched","",COUNTIF(tblBank[Status],"&lt;&gt;Matched")+COUNTIF(INDEX(tblLedger[Status],1):tblLedger[[#This Row],[Status]],"&lt;&gt;Matched"))</f>
        <v/>
      </c>
    </row>
    <row r="73" spans="1:10" x14ac:dyDescent="0.25">
      <c r="A73" s="10" t="s">
        <v>261</v>
      </c>
      <c r="B73" s="6">
        <v>45999</v>
      </c>
      <c r="C73" s="10" t="s">
        <v>262</v>
      </c>
      <c r="D73" s="10" t="s">
        <v>263</v>
      </c>
      <c r="E73" s="11">
        <v>15773.4</v>
      </c>
      <c r="F73" s="10" t="b">
        <f>COUNTIF(tblBank[Reference],tblLedger[[#This Row],[Reference]])&gt;0</f>
        <v>1</v>
      </c>
      <c r="G73" s="10" t="str">
        <f>IFERROR(INDEX(tblBank[BankId],MATCH(tblLedger[[#This Row],[Entry]],tblBank[MatchedEntry],0)),"")</f>
        <v>B066</v>
      </c>
      <c r="H73" s="10" t="str">
        <f>IF(tblLedger[[#This Row],[BankId]]&lt;&gt;"","Matched",IF(tblLedger[[#This Row],[Amount]]&gt;0,"Deposit in transit","Outstanding payment"))</f>
        <v>Matched</v>
      </c>
      <c r="I73" s="10" t="str">
        <f>IF(tblLedger[[#This Row],[Status]]="Matched","",IF(tblLedger[[#This Row],[Status]]="Deposit in transit","Check it is credited on the January statement","Check it is debited on the January statement"))</f>
        <v/>
      </c>
      <c r="J73" s="10" t="str">
        <f>IF(tblLedger[[#This Row],[Status]]="Matched","",COUNTIF(tblBank[Status],"&lt;&gt;Matched")+COUNTIF(INDEX(tblLedger[Status],1):tblLedger[[#This Row],[Status]],"&lt;&gt;Matched"))</f>
        <v/>
      </c>
    </row>
    <row r="74" spans="1:10" x14ac:dyDescent="0.25">
      <c r="A74" s="10" t="s">
        <v>264</v>
      </c>
      <c r="B74" s="6">
        <v>45999</v>
      </c>
      <c r="C74" s="10" t="s">
        <v>265</v>
      </c>
      <c r="D74" s="10" t="s">
        <v>266</v>
      </c>
      <c r="E74" s="11">
        <v>491.64</v>
      </c>
      <c r="F74" s="10" t="b">
        <f>COUNTIF(tblBank[Reference],tblLedger[[#This Row],[Reference]])&gt;0</f>
        <v>1</v>
      </c>
      <c r="G74" s="10" t="str">
        <f>IFERROR(INDEX(tblBank[BankId],MATCH(tblLedger[[#This Row],[Entry]],tblBank[MatchedEntry],0)),"")</f>
        <v>B065</v>
      </c>
      <c r="H74" s="10" t="str">
        <f>IF(tblLedger[[#This Row],[BankId]]&lt;&gt;"","Matched",IF(tblLedger[[#This Row],[Amount]]&gt;0,"Deposit in transit","Outstanding payment"))</f>
        <v>Matched</v>
      </c>
      <c r="I74" s="10" t="str">
        <f>IF(tblLedger[[#This Row],[Status]]="Matched","",IF(tblLedger[[#This Row],[Status]]="Deposit in transit","Check it is credited on the January statement","Check it is debited on the January statement"))</f>
        <v/>
      </c>
      <c r="J74" s="10" t="str">
        <f>IF(tblLedger[[#This Row],[Status]]="Matched","",COUNTIF(tblBank[Status],"&lt;&gt;Matched")+COUNTIF(INDEX(tblLedger[Status],1):tblLedger[[#This Row],[Status]],"&lt;&gt;Matched"))</f>
        <v/>
      </c>
    </row>
    <row r="75" spans="1:10" x14ac:dyDescent="0.25">
      <c r="A75" s="10" t="s">
        <v>267</v>
      </c>
      <c r="B75" s="6">
        <v>45999</v>
      </c>
      <c r="C75" s="10" t="s">
        <v>268</v>
      </c>
      <c r="D75" s="10" t="s">
        <v>269</v>
      </c>
      <c r="E75" s="11">
        <v>641.44000000000005</v>
      </c>
      <c r="F75" s="10" t="b">
        <f>COUNTIF(tblBank[Reference],tblLedger[[#This Row],[Reference]])&gt;0</f>
        <v>1</v>
      </c>
      <c r="G75" s="10" t="str">
        <f>IFERROR(INDEX(tblBank[BankId],MATCH(tblLedger[[#This Row],[Entry]],tblBank[MatchedEntry],0)),"")</f>
        <v>B068</v>
      </c>
      <c r="H75" s="10" t="str">
        <f>IF(tblLedger[[#This Row],[BankId]]&lt;&gt;"","Matched",IF(tblLedger[[#This Row],[Amount]]&gt;0,"Deposit in transit","Outstanding payment"))</f>
        <v>Matched</v>
      </c>
      <c r="I75" s="10" t="str">
        <f>IF(tblLedger[[#This Row],[Status]]="Matched","",IF(tblLedger[[#This Row],[Status]]="Deposit in transit","Check it is credited on the January statement","Check it is debited on the January statement"))</f>
        <v/>
      </c>
      <c r="J75" s="10" t="str">
        <f>IF(tblLedger[[#This Row],[Status]]="Matched","",COUNTIF(tblBank[Status],"&lt;&gt;Matched")+COUNTIF(INDEX(tblLedger[Status],1):tblLedger[[#This Row],[Status]],"&lt;&gt;Matched"))</f>
        <v/>
      </c>
    </row>
    <row r="76" spans="1:10" x14ac:dyDescent="0.25">
      <c r="A76" s="10" t="s">
        <v>270</v>
      </c>
      <c r="B76" s="6">
        <v>46000</v>
      </c>
      <c r="C76" s="10" t="s">
        <v>271</v>
      </c>
      <c r="D76" s="10" t="s">
        <v>272</v>
      </c>
      <c r="E76" s="11">
        <v>3594.43</v>
      </c>
      <c r="F76" s="10" t="b">
        <f>COUNTIF(tblBank[Reference],tblLedger[[#This Row],[Reference]])&gt;0</f>
        <v>1</v>
      </c>
      <c r="G76" s="10" t="str">
        <f>IFERROR(INDEX(tblBank[BankId],MATCH(tblLedger[[#This Row],[Entry]],tblBank[MatchedEntry],0)),"")</f>
        <v>B073</v>
      </c>
      <c r="H76" s="10" t="str">
        <f>IF(tblLedger[[#This Row],[BankId]]&lt;&gt;"","Matched",IF(tblLedger[[#This Row],[Amount]]&gt;0,"Deposit in transit","Outstanding payment"))</f>
        <v>Matched</v>
      </c>
      <c r="I76" s="10" t="str">
        <f>IF(tblLedger[[#This Row],[Status]]="Matched","",IF(tblLedger[[#This Row],[Status]]="Deposit in transit","Check it is credited on the January statement","Check it is debited on the January statement"))</f>
        <v/>
      </c>
      <c r="J76" s="10" t="str">
        <f>IF(tblLedger[[#This Row],[Status]]="Matched","",COUNTIF(tblBank[Status],"&lt;&gt;Matched")+COUNTIF(INDEX(tblLedger[Status],1):tblLedger[[#This Row],[Status]],"&lt;&gt;Matched"))</f>
        <v/>
      </c>
    </row>
    <row r="77" spans="1:10" x14ac:dyDescent="0.25">
      <c r="A77" s="10" t="s">
        <v>273</v>
      </c>
      <c r="B77" s="6">
        <v>46000</v>
      </c>
      <c r="C77" s="10" t="s">
        <v>274</v>
      </c>
      <c r="D77" s="10" t="s">
        <v>275</v>
      </c>
      <c r="E77" s="11">
        <v>2828.69</v>
      </c>
      <c r="F77" s="10" t="b">
        <f>COUNTIF(tblBank[Reference],tblLedger[[#This Row],[Reference]])&gt;0</f>
        <v>1</v>
      </c>
      <c r="G77" s="10" t="str">
        <f>IFERROR(INDEX(tblBank[BankId],MATCH(tblLedger[[#This Row],[Entry]],tblBank[MatchedEntry],0)),"")</f>
        <v>B072</v>
      </c>
      <c r="H77" s="10" t="str">
        <f>IF(tblLedger[[#This Row],[BankId]]&lt;&gt;"","Matched",IF(tblLedger[[#This Row],[Amount]]&gt;0,"Deposit in transit","Outstanding payment"))</f>
        <v>Matched</v>
      </c>
      <c r="I77" s="10" t="str">
        <f>IF(tblLedger[[#This Row],[Status]]="Matched","",IF(tblLedger[[#This Row],[Status]]="Deposit in transit","Check it is credited on the January statement","Check it is debited on the January statement"))</f>
        <v/>
      </c>
      <c r="J77" s="10" t="str">
        <f>IF(tblLedger[[#This Row],[Status]]="Matched","",COUNTIF(tblBank[Status],"&lt;&gt;Matched")+COUNTIF(INDEX(tblLedger[Status],1):tblLedger[[#This Row],[Status]],"&lt;&gt;Matched"))</f>
        <v/>
      </c>
    </row>
    <row r="78" spans="1:10" x14ac:dyDescent="0.25">
      <c r="A78" s="10" t="s">
        <v>276</v>
      </c>
      <c r="B78" s="6">
        <v>46000</v>
      </c>
      <c r="C78" s="10" t="s">
        <v>277</v>
      </c>
      <c r="D78" s="10" t="s">
        <v>278</v>
      </c>
      <c r="E78" s="11">
        <v>1331.96</v>
      </c>
      <c r="F78" s="10" t="b">
        <f>COUNTIF(tblBank[Reference],tblLedger[[#This Row],[Reference]])&gt;0</f>
        <v>1</v>
      </c>
      <c r="G78" s="10" t="str">
        <f>IFERROR(INDEX(tblBank[BankId],MATCH(tblLedger[[#This Row],[Entry]],tblBank[MatchedEntry],0)),"")</f>
        <v>B076</v>
      </c>
      <c r="H78" s="10" t="str">
        <f>IF(tblLedger[[#This Row],[BankId]]&lt;&gt;"","Matched",IF(tblLedger[[#This Row],[Amount]]&gt;0,"Deposit in transit","Outstanding payment"))</f>
        <v>Matched</v>
      </c>
      <c r="I78" s="10" t="str">
        <f>IF(tblLedger[[#This Row],[Status]]="Matched","",IF(tblLedger[[#This Row],[Status]]="Deposit in transit","Check it is credited on the January statement","Check it is debited on the January statement"))</f>
        <v/>
      </c>
      <c r="J78" s="10" t="str">
        <f>IF(tblLedger[[#This Row],[Status]]="Matched","",COUNTIF(tblBank[Status],"&lt;&gt;Matched")+COUNTIF(INDEX(tblLedger[Status],1):tblLedger[[#This Row],[Status]],"&lt;&gt;Matched"))</f>
        <v/>
      </c>
    </row>
    <row r="79" spans="1:10" x14ac:dyDescent="0.25">
      <c r="A79" s="10" t="s">
        <v>279</v>
      </c>
      <c r="B79" s="6">
        <v>46000</v>
      </c>
      <c r="C79" s="10" t="s">
        <v>280</v>
      </c>
      <c r="D79" s="10" t="s">
        <v>281</v>
      </c>
      <c r="E79" s="11">
        <v>-543.46</v>
      </c>
      <c r="F79" s="10" t="b">
        <f>COUNTIF(tblBank[Reference],tblLedger[[#This Row],[Reference]])&gt;0</f>
        <v>1</v>
      </c>
      <c r="G79" s="10" t="str">
        <f>IFERROR(INDEX(tblBank[BankId],MATCH(tblLedger[[#This Row],[Entry]],tblBank[MatchedEntry],0)),"")</f>
        <v>B080</v>
      </c>
      <c r="H79" s="10" t="str">
        <f>IF(tblLedger[[#This Row],[BankId]]&lt;&gt;"","Matched",IF(tblLedger[[#This Row],[Amount]]&gt;0,"Deposit in transit","Outstanding payment"))</f>
        <v>Matched</v>
      </c>
      <c r="I79" s="10" t="str">
        <f>IF(tblLedger[[#This Row],[Status]]="Matched","",IF(tblLedger[[#This Row],[Status]]="Deposit in transit","Check it is credited on the January statement","Check it is debited on the January statement"))</f>
        <v/>
      </c>
      <c r="J79" s="10" t="str">
        <f>IF(tblLedger[[#This Row],[Status]]="Matched","",COUNTIF(tblBank[Status],"&lt;&gt;Matched")+COUNTIF(INDEX(tblLedger[Status],1):tblLedger[[#This Row],[Status]],"&lt;&gt;Matched"))</f>
        <v/>
      </c>
    </row>
    <row r="80" spans="1:10" x14ac:dyDescent="0.25">
      <c r="A80" s="10" t="s">
        <v>282</v>
      </c>
      <c r="B80" s="6">
        <v>46000</v>
      </c>
      <c r="C80" s="10" t="s">
        <v>283</v>
      </c>
      <c r="D80" s="10" t="s">
        <v>284</v>
      </c>
      <c r="E80" s="11">
        <v>543.35</v>
      </c>
      <c r="F80" s="10" t="b">
        <f>COUNTIF(tblBank[Reference],tblLedger[[#This Row],[Reference]])&gt;0</f>
        <v>0</v>
      </c>
      <c r="G80" s="10" t="str">
        <f>IFERROR(INDEX(tblBank[BankId],MATCH(tblLedger[[#This Row],[Entry]],tblBank[MatchedEntry],0)),"")</f>
        <v>B077</v>
      </c>
      <c r="H80" s="10" t="str">
        <f>IF(tblLedger[[#This Row],[BankId]]&lt;&gt;"","Matched",IF(tblLedger[[#This Row],[Amount]]&gt;0,"Deposit in transit","Outstanding payment"))</f>
        <v>Matched</v>
      </c>
      <c r="I80" s="10" t="str">
        <f>IF(tblLedger[[#This Row],[Status]]="Matched","",IF(tblLedger[[#This Row],[Status]]="Deposit in transit","Check it is credited on the January statement","Check it is debited on the January statement"))</f>
        <v/>
      </c>
      <c r="J80" s="10" t="str">
        <f>IF(tblLedger[[#This Row],[Status]]="Matched","",COUNTIF(tblBank[Status],"&lt;&gt;Matched")+COUNTIF(INDEX(tblLedger[Status],1):tblLedger[[#This Row],[Status]],"&lt;&gt;Matched"))</f>
        <v/>
      </c>
    </row>
    <row r="81" spans="1:10" x14ac:dyDescent="0.25">
      <c r="A81" s="10" t="s">
        <v>285</v>
      </c>
      <c r="B81" s="6">
        <v>46000</v>
      </c>
      <c r="C81" s="10" t="s">
        <v>286</v>
      </c>
      <c r="D81" s="10" t="s">
        <v>287</v>
      </c>
      <c r="E81" s="11">
        <v>406.31</v>
      </c>
      <c r="F81" s="10" t="b">
        <f>COUNTIF(tblBank[Reference],tblLedger[[#This Row],[Reference]])&gt;0</f>
        <v>1</v>
      </c>
      <c r="G81" s="10" t="str">
        <f>IFERROR(INDEX(tblBank[BankId],MATCH(tblLedger[[#This Row],[Entry]],tblBank[MatchedEntry],0)),"")</f>
        <v>B075</v>
      </c>
      <c r="H81" s="10" t="str">
        <f>IF(tblLedger[[#This Row],[BankId]]&lt;&gt;"","Matched",IF(tblLedger[[#This Row],[Amount]]&gt;0,"Deposit in transit","Outstanding payment"))</f>
        <v>Matched</v>
      </c>
      <c r="I81" s="10" t="str">
        <f>IF(tblLedger[[#This Row],[Status]]="Matched","",IF(tblLedger[[#This Row],[Status]]="Deposit in transit","Check it is credited on the January statement","Check it is debited on the January statement"))</f>
        <v/>
      </c>
      <c r="J81" s="10" t="str">
        <f>IF(tblLedger[[#This Row],[Status]]="Matched","",COUNTIF(tblBank[Status],"&lt;&gt;Matched")+COUNTIF(INDEX(tblLedger[Status],1):tblLedger[[#This Row],[Status]],"&lt;&gt;Matched"))</f>
        <v/>
      </c>
    </row>
    <row r="82" spans="1:10" x14ac:dyDescent="0.25">
      <c r="A82" s="10" t="s">
        <v>288</v>
      </c>
      <c r="B82" s="6">
        <v>46000</v>
      </c>
      <c r="C82" s="10" t="s">
        <v>289</v>
      </c>
      <c r="D82" s="10" t="s">
        <v>290</v>
      </c>
      <c r="E82" s="11">
        <v>-3457.81</v>
      </c>
      <c r="F82" s="10" t="b">
        <f>COUNTIF(tblBank[Reference],tblLedger[[#This Row],[Reference]])&gt;0</f>
        <v>1</v>
      </c>
      <c r="G82" s="10" t="str">
        <f>IFERROR(INDEX(tblBank[BankId],MATCH(tblLedger[[#This Row],[Entry]],tblBank[MatchedEntry],0)),"")</f>
        <v>B081</v>
      </c>
      <c r="H82" s="10" t="str">
        <f>IF(tblLedger[[#This Row],[BankId]]&lt;&gt;"","Matched",IF(tblLedger[[#This Row],[Amount]]&gt;0,"Deposit in transit","Outstanding payment"))</f>
        <v>Matched</v>
      </c>
      <c r="I82" s="10" t="str">
        <f>IF(tblLedger[[#This Row],[Status]]="Matched","",IF(tblLedger[[#This Row],[Status]]="Deposit in transit","Check it is credited on the January statement","Check it is debited on the January statement"))</f>
        <v/>
      </c>
      <c r="J82" s="10" t="str">
        <f>IF(tblLedger[[#This Row],[Status]]="Matched","",COUNTIF(tblBank[Status],"&lt;&gt;Matched")+COUNTIF(INDEX(tblLedger[Status],1):tblLedger[[#This Row],[Status]],"&lt;&gt;Matched"))</f>
        <v/>
      </c>
    </row>
    <row r="83" spans="1:10" x14ac:dyDescent="0.25">
      <c r="A83" s="10" t="s">
        <v>291</v>
      </c>
      <c r="B83" s="6">
        <v>46000</v>
      </c>
      <c r="C83" s="10" t="s">
        <v>292</v>
      </c>
      <c r="D83" s="10" t="s">
        <v>293</v>
      </c>
      <c r="E83" s="11">
        <v>-277.22000000000003</v>
      </c>
      <c r="F83" s="10" t="b">
        <f>COUNTIF(tblBank[Reference],tblLedger[[#This Row],[Reference]])&gt;0</f>
        <v>1</v>
      </c>
      <c r="G83" s="10" t="str">
        <f>IFERROR(INDEX(tblBank[BankId],MATCH(tblLedger[[#This Row],[Entry]],tblBank[MatchedEntry],0)),"")</f>
        <v>B085</v>
      </c>
      <c r="H83" s="10" t="str">
        <f>IF(tblLedger[[#This Row],[BankId]]&lt;&gt;"","Matched",IF(tblLedger[[#This Row],[Amount]]&gt;0,"Deposit in transit","Outstanding payment"))</f>
        <v>Matched</v>
      </c>
      <c r="I83" s="10" t="str">
        <f>IF(tblLedger[[#This Row],[Status]]="Matched","",IF(tblLedger[[#This Row],[Status]]="Deposit in transit","Check it is credited on the January statement","Check it is debited on the January statement"))</f>
        <v/>
      </c>
      <c r="J83" s="10" t="str">
        <f>IF(tblLedger[[#This Row],[Status]]="Matched","",COUNTIF(tblBank[Status],"&lt;&gt;Matched")+COUNTIF(INDEX(tblLedger[Status],1):tblLedger[[#This Row],[Status]],"&lt;&gt;Matched"))</f>
        <v/>
      </c>
    </row>
    <row r="84" spans="1:10" x14ac:dyDescent="0.25">
      <c r="A84" s="10" t="s">
        <v>294</v>
      </c>
      <c r="B84" s="6">
        <v>46000</v>
      </c>
      <c r="C84" s="10" t="s">
        <v>295</v>
      </c>
      <c r="D84" s="10" t="s">
        <v>296</v>
      </c>
      <c r="E84" s="11">
        <v>1137.56</v>
      </c>
      <c r="F84" s="10" t="b">
        <f>COUNTIF(tblBank[Reference],tblLedger[[#This Row],[Reference]])&gt;0</f>
        <v>1</v>
      </c>
      <c r="G84" s="10" t="str">
        <f>IFERROR(INDEX(tblBank[BankId],MATCH(tblLedger[[#This Row],[Entry]],tblBank[MatchedEntry],0)),"")</f>
        <v>B074</v>
      </c>
      <c r="H84" s="10" t="str">
        <f>IF(tblLedger[[#This Row],[BankId]]&lt;&gt;"","Matched",IF(tblLedger[[#This Row],[Amount]]&gt;0,"Deposit in transit","Outstanding payment"))</f>
        <v>Matched</v>
      </c>
      <c r="I84" s="10" t="str">
        <f>IF(tblLedger[[#This Row],[Status]]="Matched","",IF(tblLedger[[#This Row],[Status]]="Deposit in transit","Check it is credited on the January statement","Check it is debited on the January statement"))</f>
        <v/>
      </c>
      <c r="J84" s="10" t="str">
        <f>IF(tblLedger[[#This Row],[Status]]="Matched","",COUNTIF(tblBank[Status],"&lt;&gt;Matched")+COUNTIF(INDEX(tblLedger[Status],1):tblLedger[[#This Row],[Status]],"&lt;&gt;Matched"))</f>
        <v/>
      </c>
    </row>
    <row r="85" spans="1:10" x14ac:dyDescent="0.25">
      <c r="A85" s="10" t="s">
        <v>297</v>
      </c>
      <c r="B85" s="6">
        <v>46001</v>
      </c>
      <c r="C85" s="10" t="s">
        <v>298</v>
      </c>
      <c r="D85" s="10" t="s">
        <v>299</v>
      </c>
      <c r="E85" s="11">
        <v>-29.92</v>
      </c>
      <c r="F85" s="10" t="b">
        <f>COUNTIF(tblBank[Reference],tblLedger[[#This Row],[Reference]])&gt;0</f>
        <v>1</v>
      </c>
      <c r="G85" s="10" t="str">
        <f>IFERROR(INDEX(tblBank[BankId],MATCH(tblLedger[[#This Row],[Entry]],tblBank[MatchedEntry],0)),"")</f>
        <v>B093</v>
      </c>
      <c r="H85" s="10" t="str">
        <f>IF(tblLedger[[#This Row],[BankId]]&lt;&gt;"","Matched",IF(tblLedger[[#This Row],[Amount]]&gt;0,"Deposit in transit","Outstanding payment"))</f>
        <v>Matched</v>
      </c>
      <c r="I85" s="10" t="str">
        <f>IF(tblLedger[[#This Row],[Status]]="Matched","",IF(tblLedger[[#This Row],[Status]]="Deposit in transit","Check it is credited on the January statement","Check it is debited on the January statement"))</f>
        <v/>
      </c>
      <c r="J85" s="10" t="str">
        <f>IF(tblLedger[[#This Row],[Status]]="Matched","",COUNTIF(tblBank[Status],"&lt;&gt;Matched")+COUNTIF(INDEX(tblLedger[Status],1):tblLedger[[#This Row],[Status]],"&lt;&gt;Matched"))</f>
        <v/>
      </c>
    </row>
    <row r="86" spans="1:10" x14ac:dyDescent="0.25">
      <c r="A86" s="10" t="s">
        <v>300</v>
      </c>
      <c r="B86" s="6">
        <v>46001</v>
      </c>
      <c r="C86" s="10" t="s">
        <v>301</v>
      </c>
      <c r="D86" s="10" t="s">
        <v>302</v>
      </c>
      <c r="E86" s="11">
        <v>-284.35000000000002</v>
      </c>
      <c r="F86" s="10" t="b">
        <f>COUNTIF(tblBank[Reference],tblLedger[[#This Row],[Reference]])&gt;0</f>
        <v>1</v>
      </c>
      <c r="G86" s="10" t="str">
        <f>IFERROR(INDEX(tblBank[BankId],MATCH(tblLedger[[#This Row],[Entry]],tblBank[MatchedEntry],0)),"")</f>
        <v>B092</v>
      </c>
      <c r="H86" s="10" t="str">
        <f>IF(tblLedger[[#This Row],[BankId]]&lt;&gt;"","Matched",IF(tblLedger[[#This Row],[Amount]]&gt;0,"Deposit in transit","Outstanding payment"))</f>
        <v>Matched</v>
      </c>
      <c r="I86" s="10" t="str">
        <f>IF(tblLedger[[#This Row],[Status]]="Matched","",IF(tblLedger[[#This Row],[Status]]="Deposit in transit","Check it is credited on the January statement","Check it is debited on the January statement"))</f>
        <v/>
      </c>
      <c r="J86" s="10" t="str">
        <f>IF(tblLedger[[#This Row],[Status]]="Matched","",COUNTIF(tblBank[Status],"&lt;&gt;Matched")+COUNTIF(INDEX(tblLedger[Status],1):tblLedger[[#This Row],[Status]],"&lt;&gt;Matched"))</f>
        <v/>
      </c>
    </row>
    <row r="87" spans="1:10" x14ac:dyDescent="0.25">
      <c r="A87" s="10" t="s">
        <v>303</v>
      </c>
      <c r="B87" s="6">
        <v>46001</v>
      </c>
      <c r="C87" s="10" t="s">
        <v>304</v>
      </c>
      <c r="D87" s="10" t="s">
        <v>305</v>
      </c>
      <c r="E87" s="11">
        <v>12352.26</v>
      </c>
      <c r="F87" s="10" t="b">
        <f>COUNTIF(tblBank[Reference],tblLedger[[#This Row],[Reference]])&gt;0</f>
        <v>1</v>
      </c>
      <c r="G87" s="10" t="str">
        <f>IFERROR(INDEX(tblBank[BankId],MATCH(tblLedger[[#This Row],[Entry]],tblBank[MatchedEntry],0)),"")</f>
        <v>B088</v>
      </c>
      <c r="H87" s="10" t="str">
        <f>IF(tblLedger[[#This Row],[BankId]]&lt;&gt;"","Matched",IF(tblLedger[[#This Row],[Amount]]&gt;0,"Deposit in transit","Outstanding payment"))</f>
        <v>Matched</v>
      </c>
      <c r="I87" s="10" t="str">
        <f>IF(tblLedger[[#This Row],[Status]]="Matched","",IF(tblLedger[[#This Row],[Status]]="Deposit in transit","Check it is credited on the January statement","Check it is debited on the January statement"))</f>
        <v/>
      </c>
      <c r="J87" s="10" t="str">
        <f>IF(tblLedger[[#This Row],[Status]]="Matched","",COUNTIF(tblBank[Status],"&lt;&gt;Matched")+COUNTIF(INDEX(tblLedger[Status],1):tblLedger[[#This Row],[Status]],"&lt;&gt;Matched"))</f>
        <v/>
      </c>
    </row>
    <row r="88" spans="1:10" x14ac:dyDescent="0.25">
      <c r="A88" s="10" t="s">
        <v>306</v>
      </c>
      <c r="B88" s="6">
        <v>46001</v>
      </c>
      <c r="C88" s="10" t="s">
        <v>307</v>
      </c>
      <c r="D88" s="10" t="s">
        <v>308</v>
      </c>
      <c r="E88" s="11">
        <v>160.32</v>
      </c>
      <c r="F88" s="10" t="b">
        <f>COUNTIF(tblBank[Reference],tblLedger[[#This Row],[Reference]])&gt;0</f>
        <v>1</v>
      </c>
      <c r="G88" s="10" t="str">
        <f>IFERROR(INDEX(tblBank[BankId],MATCH(tblLedger[[#This Row],[Entry]],tblBank[MatchedEntry],0)),"")</f>
        <v>B086</v>
      </c>
      <c r="H88" s="10" t="str">
        <f>IF(tblLedger[[#This Row],[BankId]]&lt;&gt;"","Matched",IF(tblLedger[[#This Row],[Amount]]&gt;0,"Deposit in transit","Outstanding payment"))</f>
        <v>Matched</v>
      </c>
      <c r="I88" s="10" t="str">
        <f>IF(tblLedger[[#This Row],[Status]]="Matched","",IF(tblLedger[[#This Row],[Status]]="Deposit in transit","Check it is credited on the January statement","Check it is debited on the January statement"))</f>
        <v/>
      </c>
      <c r="J88" s="10" t="str">
        <f>IF(tblLedger[[#This Row],[Status]]="Matched","",COUNTIF(tblBank[Status],"&lt;&gt;Matched")+COUNTIF(INDEX(tblLedger[Status],1):tblLedger[[#This Row],[Status]],"&lt;&gt;Matched"))</f>
        <v/>
      </c>
    </row>
    <row r="89" spans="1:10" x14ac:dyDescent="0.25">
      <c r="A89" s="10" t="s">
        <v>309</v>
      </c>
      <c r="B89" s="6">
        <v>46001</v>
      </c>
      <c r="C89" s="10" t="s">
        <v>310</v>
      </c>
      <c r="D89" s="10" t="s">
        <v>311</v>
      </c>
      <c r="E89" s="11">
        <v>1310.77</v>
      </c>
      <c r="F89" s="10" t="b">
        <f>COUNTIF(tblBank[Reference],tblLedger[[#This Row],[Reference]])&gt;0</f>
        <v>1</v>
      </c>
      <c r="G89" s="10" t="str">
        <f>IFERROR(INDEX(tblBank[BankId],MATCH(tblLedger[[#This Row],[Entry]],tblBank[MatchedEntry],0)),"")</f>
        <v>B090</v>
      </c>
      <c r="H89" s="10" t="str">
        <f>IF(tblLedger[[#This Row],[BankId]]&lt;&gt;"","Matched",IF(tblLedger[[#This Row],[Amount]]&gt;0,"Deposit in transit","Outstanding payment"))</f>
        <v>Matched</v>
      </c>
      <c r="I89" s="10" t="str">
        <f>IF(tblLedger[[#This Row],[Status]]="Matched","",IF(tblLedger[[#This Row],[Status]]="Deposit in transit","Check it is credited on the January statement","Check it is debited on the January statement"))</f>
        <v/>
      </c>
      <c r="J89" s="10" t="str">
        <f>IF(tblLedger[[#This Row],[Status]]="Matched","",COUNTIF(tblBank[Status],"&lt;&gt;Matched")+COUNTIF(INDEX(tblLedger[Status],1):tblLedger[[#This Row],[Status]],"&lt;&gt;Matched"))</f>
        <v/>
      </c>
    </row>
    <row r="90" spans="1:10" x14ac:dyDescent="0.25">
      <c r="A90" s="10" t="s">
        <v>312</v>
      </c>
      <c r="B90" s="6">
        <v>46001</v>
      </c>
      <c r="C90" s="10" t="s">
        <v>313</v>
      </c>
      <c r="D90" s="10" t="s">
        <v>314</v>
      </c>
      <c r="E90" s="11">
        <v>-164.98</v>
      </c>
      <c r="F90" s="10" t="b">
        <f>COUNTIF(tblBank[Reference],tblLedger[[#This Row],[Reference]])&gt;0</f>
        <v>1</v>
      </c>
      <c r="G90" s="10" t="str">
        <f>IFERROR(INDEX(tblBank[BankId],MATCH(tblLedger[[#This Row],[Entry]],tblBank[MatchedEntry],0)),"")</f>
        <v>B097</v>
      </c>
      <c r="H90" s="10" t="str">
        <f>IF(tblLedger[[#This Row],[BankId]]&lt;&gt;"","Matched",IF(tblLedger[[#This Row],[Amount]]&gt;0,"Deposit in transit","Outstanding payment"))</f>
        <v>Matched</v>
      </c>
      <c r="I90" s="10" t="str">
        <f>IF(tblLedger[[#This Row],[Status]]="Matched","",IF(tblLedger[[#This Row],[Status]]="Deposit in transit","Check it is credited on the January statement","Check it is debited on the January statement"))</f>
        <v/>
      </c>
      <c r="J90" s="10" t="str">
        <f>IF(tblLedger[[#This Row],[Status]]="Matched","",COUNTIF(tblBank[Status],"&lt;&gt;Matched")+COUNTIF(INDEX(tblLedger[Status],1):tblLedger[[#This Row],[Status]],"&lt;&gt;Matched"))</f>
        <v/>
      </c>
    </row>
    <row r="91" spans="1:10" x14ac:dyDescent="0.25">
      <c r="A91" s="10" t="s">
        <v>315</v>
      </c>
      <c r="B91" s="6">
        <v>46001</v>
      </c>
      <c r="C91" s="10" t="s">
        <v>316</v>
      </c>
      <c r="D91" s="10" t="s">
        <v>317</v>
      </c>
      <c r="E91" s="11">
        <v>-41932.21</v>
      </c>
      <c r="F91" s="10" t="b">
        <f>COUNTIF(tblBank[Reference],tblLedger[[#This Row],[Reference]])&gt;0</f>
        <v>1</v>
      </c>
      <c r="G91" s="10" t="str">
        <f>IFERROR(INDEX(tblBank[BankId],MATCH(tblLedger[[#This Row],[Entry]],tblBank[MatchedEntry],0)),"")</f>
        <v>B083</v>
      </c>
      <c r="H91" s="10" t="str">
        <f>IF(tblLedger[[#This Row],[BankId]]&lt;&gt;"","Matched",IF(tblLedger[[#This Row],[Amount]]&gt;0,"Deposit in transit","Outstanding payment"))</f>
        <v>Matched</v>
      </c>
      <c r="I91" s="10" t="str">
        <f>IF(tblLedger[[#This Row],[Status]]="Matched","",IF(tblLedger[[#This Row],[Status]]="Deposit in transit","Check it is credited on the January statement","Check it is debited on the January statement"))</f>
        <v/>
      </c>
      <c r="J91" s="10" t="str">
        <f>IF(tblLedger[[#This Row],[Status]]="Matched","",COUNTIF(tblBank[Status],"&lt;&gt;Matched")+COUNTIF(INDEX(tblLedger[Status],1):tblLedger[[#This Row],[Status]],"&lt;&gt;Matched"))</f>
        <v/>
      </c>
    </row>
    <row r="92" spans="1:10" x14ac:dyDescent="0.25">
      <c r="A92" s="10" t="s">
        <v>318</v>
      </c>
      <c r="B92" s="6">
        <v>46001</v>
      </c>
      <c r="C92" s="10" t="s">
        <v>319</v>
      </c>
      <c r="D92" s="10" t="s">
        <v>320</v>
      </c>
      <c r="E92" s="11">
        <v>-350.04</v>
      </c>
      <c r="F92" s="10" t="b">
        <f>COUNTIF(tblBank[Reference],tblLedger[[#This Row],[Reference]])&gt;0</f>
        <v>1</v>
      </c>
      <c r="G92" s="10" t="str">
        <f>IFERROR(INDEX(tblBank[BankId],MATCH(tblLedger[[#This Row],[Entry]],tblBank[MatchedEntry],0)),"")</f>
        <v>B098</v>
      </c>
      <c r="H92" s="10" t="str">
        <f>IF(tblLedger[[#This Row],[BankId]]&lt;&gt;"","Matched",IF(tblLedger[[#This Row],[Amount]]&gt;0,"Deposit in transit","Outstanding payment"))</f>
        <v>Matched</v>
      </c>
      <c r="I92" s="10" t="str">
        <f>IF(tblLedger[[#This Row],[Status]]="Matched","",IF(tblLedger[[#This Row],[Status]]="Deposit in transit","Check it is credited on the January statement","Check it is debited on the January statement"))</f>
        <v/>
      </c>
      <c r="J92" s="10" t="str">
        <f>IF(tblLedger[[#This Row],[Status]]="Matched","",COUNTIF(tblBank[Status],"&lt;&gt;Matched")+COUNTIF(INDEX(tblLedger[Status],1):tblLedger[[#This Row],[Status]],"&lt;&gt;Matched"))</f>
        <v/>
      </c>
    </row>
    <row r="93" spans="1:10" x14ac:dyDescent="0.25">
      <c r="A93" s="10" t="s">
        <v>321</v>
      </c>
      <c r="B93" s="6">
        <v>46001</v>
      </c>
      <c r="C93" s="10" t="s">
        <v>322</v>
      </c>
      <c r="D93" s="10" t="s">
        <v>323</v>
      </c>
      <c r="E93" s="11">
        <v>-112.76</v>
      </c>
      <c r="F93" s="10" t="b">
        <f>COUNTIF(tblBank[Reference],tblLedger[[#This Row],[Reference]])&gt;0</f>
        <v>1</v>
      </c>
      <c r="G93" s="10" t="str">
        <f>IFERROR(INDEX(tblBank[BankId],MATCH(tblLedger[[#This Row],[Entry]],tblBank[MatchedEntry],0)),"")</f>
        <v>B091</v>
      </c>
      <c r="H93" s="10" t="str">
        <f>IF(tblLedger[[#This Row],[BankId]]&lt;&gt;"","Matched",IF(tblLedger[[#This Row],[Amount]]&gt;0,"Deposit in transit","Outstanding payment"))</f>
        <v>Matched</v>
      </c>
      <c r="I93" s="10" t="str">
        <f>IF(tblLedger[[#This Row],[Status]]="Matched","",IF(tblLedger[[#This Row],[Status]]="Deposit in transit","Check it is credited on the January statement","Check it is debited on the January statement"))</f>
        <v/>
      </c>
      <c r="J93" s="10" t="str">
        <f>IF(tblLedger[[#This Row],[Status]]="Matched","",COUNTIF(tblBank[Status],"&lt;&gt;Matched")+COUNTIF(INDEX(tblLedger[Status],1):tblLedger[[#This Row],[Status]],"&lt;&gt;Matched"))</f>
        <v/>
      </c>
    </row>
    <row r="94" spans="1:10" x14ac:dyDescent="0.25">
      <c r="A94" s="10" t="s">
        <v>324</v>
      </c>
      <c r="B94" s="6">
        <v>46001</v>
      </c>
      <c r="C94" s="10" t="s">
        <v>325</v>
      </c>
      <c r="D94" s="10" t="s">
        <v>326</v>
      </c>
      <c r="E94" s="11">
        <v>2164.15</v>
      </c>
      <c r="F94" s="10" t="b">
        <f>COUNTIF(tblBank[Reference],tblLedger[[#This Row],[Reference]])&gt;0</f>
        <v>1</v>
      </c>
      <c r="G94" s="10" t="str">
        <f>IFERROR(INDEX(tblBank[BankId],MATCH(tblLedger[[#This Row],[Entry]],tblBank[MatchedEntry],0)),"")</f>
        <v>B087</v>
      </c>
      <c r="H94" s="10" t="str">
        <f>IF(tblLedger[[#This Row],[BankId]]&lt;&gt;"","Matched",IF(tblLedger[[#This Row],[Amount]]&gt;0,"Deposit in transit","Outstanding payment"))</f>
        <v>Matched</v>
      </c>
      <c r="I94" s="10" t="str">
        <f>IF(tblLedger[[#This Row],[Status]]="Matched","",IF(tblLedger[[#This Row],[Status]]="Deposit in transit","Check it is credited on the January statement","Check it is debited on the January statement"))</f>
        <v/>
      </c>
      <c r="J94" s="10" t="str">
        <f>IF(tblLedger[[#This Row],[Status]]="Matched","",COUNTIF(tblBank[Status],"&lt;&gt;Matched")+COUNTIF(INDEX(tblLedger[Status],1):tblLedger[[#This Row],[Status]],"&lt;&gt;Matched"))</f>
        <v/>
      </c>
    </row>
    <row r="95" spans="1:10" x14ac:dyDescent="0.25">
      <c r="A95" s="10" t="s">
        <v>327</v>
      </c>
      <c r="B95" s="6">
        <v>46001</v>
      </c>
      <c r="C95" s="10" t="s">
        <v>328</v>
      </c>
      <c r="D95" s="10" t="s">
        <v>329</v>
      </c>
      <c r="E95" s="11">
        <v>2104.63</v>
      </c>
      <c r="F95" s="10" t="b">
        <f>COUNTIF(tblBank[Reference],tblLedger[[#This Row],[Reference]])&gt;0</f>
        <v>1</v>
      </c>
      <c r="G95" s="10" t="str">
        <f>IFERROR(INDEX(tblBank[BankId],MATCH(tblLedger[[#This Row],[Entry]],tblBank[MatchedEntry],0)),"")</f>
        <v>B089</v>
      </c>
      <c r="H95" s="10" t="str">
        <f>IF(tblLedger[[#This Row],[BankId]]&lt;&gt;"","Matched",IF(tblLedger[[#This Row],[Amount]]&gt;0,"Deposit in transit","Outstanding payment"))</f>
        <v>Matched</v>
      </c>
      <c r="I95" s="10" t="str">
        <f>IF(tblLedger[[#This Row],[Status]]="Matched","",IF(tblLedger[[#This Row],[Status]]="Deposit in transit","Check it is credited on the January statement","Check it is debited on the January statement"))</f>
        <v/>
      </c>
      <c r="J95" s="10" t="str">
        <f>IF(tblLedger[[#This Row],[Status]]="Matched","",COUNTIF(tblBank[Status],"&lt;&gt;Matched")+COUNTIF(INDEX(tblLedger[Status],1):tblLedger[[#This Row],[Status]],"&lt;&gt;Matched"))</f>
        <v/>
      </c>
    </row>
    <row r="96" spans="1:10" x14ac:dyDescent="0.25">
      <c r="A96" s="10" t="s">
        <v>330</v>
      </c>
      <c r="B96" s="6">
        <v>46002</v>
      </c>
      <c r="C96" s="10" t="s">
        <v>331</v>
      </c>
      <c r="D96" s="10" t="s">
        <v>332</v>
      </c>
      <c r="E96" s="11">
        <v>10061.049999999999</v>
      </c>
      <c r="F96" s="10" t="b">
        <f>COUNTIF(tblBank[Reference],tblLedger[[#This Row],[Reference]])&gt;0</f>
        <v>1</v>
      </c>
      <c r="G96" s="10" t="str">
        <f>IFERROR(INDEX(tblBank[BankId],MATCH(tblLedger[[#This Row],[Entry]],tblBank[MatchedEntry],0)),"")</f>
        <v>B095</v>
      </c>
      <c r="H96" s="10" t="str">
        <f>IF(tblLedger[[#This Row],[BankId]]&lt;&gt;"","Matched",IF(tblLedger[[#This Row],[Amount]]&gt;0,"Deposit in transit","Outstanding payment"))</f>
        <v>Matched</v>
      </c>
      <c r="I96" s="10" t="str">
        <f>IF(tblLedger[[#This Row],[Status]]="Matched","",IF(tblLedger[[#This Row],[Status]]="Deposit in transit","Check it is credited on the January statement","Check it is debited on the January statement"))</f>
        <v/>
      </c>
      <c r="J96" s="10" t="str">
        <f>IF(tblLedger[[#This Row],[Status]]="Matched","",COUNTIF(tblBank[Status],"&lt;&gt;Matched")+COUNTIF(INDEX(tblLedger[Status],1):tblLedger[[#This Row],[Status]],"&lt;&gt;Matched"))</f>
        <v/>
      </c>
    </row>
    <row r="97" spans="1:10" x14ac:dyDescent="0.25">
      <c r="A97" s="10" t="s">
        <v>333</v>
      </c>
      <c r="B97" s="6">
        <v>46002</v>
      </c>
      <c r="C97" s="10" t="s">
        <v>334</v>
      </c>
      <c r="D97" s="10" t="s">
        <v>335</v>
      </c>
      <c r="E97" s="11">
        <v>126.28</v>
      </c>
      <c r="F97" s="10" t="b">
        <f>COUNTIF(tblBank[Reference],tblLedger[[#This Row],[Reference]])&gt;0</f>
        <v>1</v>
      </c>
      <c r="G97" s="10" t="str">
        <f>IFERROR(INDEX(tblBank[BankId],MATCH(tblLedger[[#This Row],[Entry]],tblBank[MatchedEntry],0)),"")</f>
        <v>B096</v>
      </c>
      <c r="H97" s="10" t="str">
        <f>IF(tblLedger[[#This Row],[BankId]]&lt;&gt;"","Matched",IF(tblLedger[[#This Row],[Amount]]&gt;0,"Deposit in transit","Outstanding payment"))</f>
        <v>Matched</v>
      </c>
      <c r="I97" s="10" t="str">
        <f>IF(tblLedger[[#This Row],[Status]]="Matched","",IF(tblLedger[[#This Row],[Status]]="Deposit in transit","Check it is credited on the January statement","Check it is debited on the January statement"))</f>
        <v/>
      </c>
      <c r="J97" s="10" t="str">
        <f>IF(tblLedger[[#This Row],[Status]]="Matched","",COUNTIF(tblBank[Status],"&lt;&gt;Matched")+COUNTIF(INDEX(tblLedger[Status],1):tblLedger[[#This Row],[Status]],"&lt;&gt;Matched"))</f>
        <v/>
      </c>
    </row>
    <row r="98" spans="1:10" x14ac:dyDescent="0.25">
      <c r="A98" s="10" t="s">
        <v>336</v>
      </c>
      <c r="B98" s="6">
        <v>46002</v>
      </c>
      <c r="C98" s="10" t="s">
        <v>337</v>
      </c>
      <c r="D98" s="10" t="s">
        <v>338</v>
      </c>
      <c r="E98" s="11">
        <v>2092.62</v>
      </c>
      <c r="F98" s="10" t="b">
        <f>COUNTIF(tblBank[Reference],tblLedger[[#This Row],[Reference]])&gt;0</f>
        <v>1</v>
      </c>
      <c r="G98" s="10" t="str">
        <f>IFERROR(INDEX(tblBank[BankId],MATCH(tblLedger[[#This Row],[Entry]],tblBank[MatchedEntry],0)),"")</f>
        <v>B094</v>
      </c>
      <c r="H98" s="10" t="str">
        <f>IF(tblLedger[[#This Row],[BankId]]&lt;&gt;"","Matched",IF(tblLedger[[#This Row],[Amount]]&gt;0,"Deposit in transit","Outstanding payment"))</f>
        <v>Matched</v>
      </c>
      <c r="I98" s="10" t="str">
        <f>IF(tblLedger[[#This Row],[Status]]="Matched","",IF(tblLedger[[#This Row],[Status]]="Deposit in transit","Check it is credited on the January statement","Check it is debited on the January statement"))</f>
        <v/>
      </c>
      <c r="J98" s="10" t="str">
        <f>IF(tblLedger[[#This Row],[Status]]="Matched","",COUNTIF(tblBank[Status],"&lt;&gt;Matched")+COUNTIF(INDEX(tblLedger[Status],1):tblLedger[[#This Row],[Status]],"&lt;&gt;Matched"))</f>
        <v/>
      </c>
    </row>
    <row r="99" spans="1:10" x14ac:dyDescent="0.25">
      <c r="A99" s="10" t="s">
        <v>339</v>
      </c>
      <c r="B99" s="6">
        <v>46003</v>
      </c>
      <c r="C99" s="10" t="s">
        <v>340</v>
      </c>
      <c r="D99" s="10" t="s">
        <v>341</v>
      </c>
      <c r="E99" s="11">
        <v>-6709.33</v>
      </c>
      <c r="F99" s="10" t="b">
        <f>COUNTIF(tblBank[Reference],tblLedger[[#This Row],[Reference]])&gt;0</f>
        <v>1</v>
      </c>
      <c r="G99" s="10" t="str">
        <f>IFERROR(INDEX(tblBank[BankId],MATCH(tblLedger[[#This Row],[Entry]],tblBank[MatchedEntry],0)),"")</f>
        <v>B103</v>
      </c>
      <c r="H99" s="10" t="str">
        <f>IF(tblLedger[[#This Row],[BankId]]&lt;&gt;"","Matched",IF(tblLedger[[#This Row],[Amount]]&gt;0,"Deposit in transit","Outstanding payment"))</f>
        <v>Matched</v>
      </c>
      <c r="I99" s="10" t="str">
        <f>IF(tblLedger[[#This Row],[Status]]="Matched","",IF(tblLedger[[#This Row],[Status]]="Deposit in transit","Check it is credited on the January statement","Check it is debited on the January statement"))</f>
        <v/>
      </c>
      <c r="J99" s="10" t="str">
        <f>IF(tblLedger[[#This Row],[Status]]="Matched","",COUNTIF(tblBank[Status],"&lt;&gt;Matched")+COUNTIF(INDEX(tblLedger[Status],1):tblLedger[[#This Row],[Status]],"&lt;&gt;Matched"))</f>
        <v/>
      </c>
    </row>
    <row r="100" spans="1:10" x14ac:dyDescent="0.25">
      <c r="A100" s="10" t="s">
        <v>342</v>
      </c>
      <c r="B100" s="6">
        <v>46003</v>
      </c>
      <c r="C100" s="10" t="s">
        <v>343</v>
      </c>
      <c r="D100" s="10" t="s">
        <v>344</v>
      </c>
      <c r="E100" s="11">
        <v>751.62</v>
      </c>
      <c r="F100" s="10" t="b">
        <f>COUNTIF(tblBank[Reference],tblLedger[[#This Row],[Reference]])&gt;0</f>
        <v>1</v>
      </c>
      <c r="G100" s="10" t="str">
        <f>IFERROR(INDEX(tblBank[BankId],MATCH(tblLedger[[#This Row],[Entry]],tblBank[MatchedEntry],0)),"")</f>
        <v>B100</v>
      </c>
      <c r="H100" s="10" t="str">
        <f>IF(tblLedger[[#This Row],[BankId]]&lt;&gt;"","Matched",IF(tblLedger[[#This Row],[Amount]]&gt;0,"Deposit in transit","Outstanding payment"))</f>
        <v>Matched</v>
      </c>
      <c r="I100" s="10" t="str">
        <f>IF(tblLedger[[#This Row],[Status]]="Matched","",IF(tblLedger[[#This Row],[Status]]="Deposit in transit","Check it is credited on the January statement","Check it is debited on the January statement"))</f>
        <v/>
      </c>
      <c r="J100" s="10" t="str">
        <f>IF(tblLedger[[#This Row],[Status]]="Matched","",COUNTIF(tblBank[Status],"&lt;&gt;Matched")+COUNTIF(INDEX(tblLedger[Status],1):tblLedger[[#This Row],[Status]],"&lt;&gt;Matched"))</f>
        <v/>
      </c>
    </row>
    <row r="101" spans="1:10" x14ac:dyDescent="0.25">
      <c r="A101" s="10" t="s">
        <v>345</v>
      </c>
      <c r="B101" s="6">
        <v>46003</v>
      </c>
      <c r="C101" s="10" t="s">
        <v>346</v>
      </c>
      <c r="D101" s="10" t="s">
        <v>347</v>
      </c>
      <c r="E101" s="11">
        <v>-228.79</v>
      </c>
      <c r="F101" s="10" t="b">
        <f>COUNTIF(tblBank[Reference],tblLedger[[#This Row],[Reference]])&gt;0</f>
        <v>1</v>
      </c>
      <c r="G101" s="10" t="str">
        <f>IFERROR(INDEX(tblBank[BankId],MATCH(tblLedger[[#This Row],[Entry]],tblBank[MatchedEntry],0)),"")</f>
        <v>B105</v>
      </c>
      <c r="H101" s="10" t="str">
        <f>IF(tblLedger[[#This Row],[BankId]]&lt;&gt;"","Matched",IF(tblLedger[[#This Row],[Amount]]&gt;0,"Deposit in transit","Outstanding payment"))</f>
        <v>Matched</v>
      </c>
      <c r="I101" s="10" t="str">
        <f>IF(tblLedger[[#This Row],[Status]]="Matched","",IF(tblLedger[[#This Row],[Status]]="Deposit in transit","Check it is credited on the January statement","Check it is debited on the January statement"))</f>
        <v/>
      </c>
      <c r="J101" s="10" t="str">
        <f>IF(tblLedger[[#This Row],[Status]]="Matched","",COUNTIF(tblBank[Status],"&lt;&gt;Matched")+COUNTIF(INDEX(tblLedger[Status],1):tblLedger[[#This Row],[Status]],"&lt;&gt;Matched"))</f>
        <v/>
      </c>
    </row>
    <row r="102" spans="1:10" x14ac:dyDescent="0.25">
      <c r="A102" s="10" t="s">
        <v>348</v>
      </c>
      <c r="B102" s="6">
        <v>46003</v>
      </c>
      <c r="C102" s="10" t="s">
        <v>349</v>
      </c>
      <c r="D102" s="10" t="s">
        <v>350</v>
      </c>
      <c r="E102" s="11">
        <v>23555.32</v>
      </c>
      <c r="F102" s="10" t="b">
        <f>COUNTIF(tblBank[Reference],tblLedger[[#This Row],[Reference]])&gt;0</f>
        <v>1</v>
      </c>
      <c r="G102" s="10" t="str">
        <f>IFERROR(INDEX(tblBank[BankId],MATCH(tblLedger[[#This Row],[Entry]],tblBank[MatchedEntry],0)),"")</f>
        <v>B099</v>
      </c>
      <c r="H102" s="10" t="str">
        <f>IF(tblLedger[[#This Row],[BankId]]&lt;&gt;"","Matched",IF(tblLedger[[#This Row],[Amount]]&gt;0,"Deposit in transit","Outstanding payment"))</f>
        <v>Matched</v>
      </c>
      <c r="I102" s="10" t="str">
        <f>IF(tblLedger[[#This Row],[Status]]="Matched","",IF(tblLedger[[#This Row],[Status]]="Deposit in transit","Check it is credited on the January statement","Check it is debited on the January statement"))</f>
        <v/>
      </c>
      <c r="J102" s="10" t="str">
        <f>IF(tblLedger[[#This Row],[Status]]="Matched","",COUNTIF(tblBank[Status],"&lt;&gt;Matched")+COUNTIF(INDEX(tblLedger[Status],1):tblLedger[[#This Row],[Status]],"&lt;&gt;Matched"))</f>
        <v/>
      </c>
    </row>
    <row r="103" spans="1:10" x14ac:dyDescent="0.25">
      <c r="A103" s="10" t="s">
        <v>351</v>
      </c>
      <c r="B103" s="6">
        <v>46003</v>
      </c>
      <c r="C103" s="10" t="s">
        <v>352</v>
      </c>
      <c r="D103" s="10" t="s">
        <v>353</v>
      </c>
      <c r="E103" s="11">
        <v>4799.3999999999996</v>
      </c>
      <c r="F103" s="10" t="b">
        <f>COUNTIF(tblBank[Reference],tblLedger[[#This Row],[Reference]])&gt;0</f>
        <v>0</v>
      </c>
      <c r="G103" s="10" t="str">
        <f>IFERROR(INDEX(tblBank[BankId],MATCH(tblLedger[[#This Row],[Entry]],tblBank[MatchedEntry],0)),"")</f>
        <v>B101</v>
      </c>
      <c r="H103" s="10" t="str">
        <f>IF(tblLedger[[#This Row],[BankId]]&lt;&gt;"","Matched",IF(tblLedger[[#This Row],[Amount]]&gt;0,"Deposit in transit","Outstanding payment"))</f>
        <v>Matched</v>
      </c>
      <c r="I103" s="10" t="str">
        <f>IF(tblLedger[[#This Row],[Status]]="Matched","",IF(tblLedger[[#This Row],[Status]]="Deposit in transit","Check it is credited on the January statement","Check it is debited on the January statement"))</f>
        <v/>
      </c>
      <c r="J103" s="10" t="str">
        <f>IF(tblLedger[[#This Row],[Status]]="Matched","",COUNTIF(tblBank[Status],"&lt;&gt;Matched")+COUNTIF(INDEX(tblLedger[Status],1):tblLedger[[#This Row],[Status]],"&lt;&gt;Matched"))</f>
        <v/>
      </c>
    </row>
    <row r="104" spans="1:10" x14ac:dyDescent="0.25">
      <c r="A104" s="10" t="s">
        <v>354</v>
      </c>
      <c r="B104" s="6">
        <v>46006</v>
      </c>
      <c r="C104" s="10" t="s">
        <v>355</v>
      </c>
      <c r="D104" s="10" t="s">
        <v>356</v>
      </c>
      <c r="E104" s="11">
        <v>741.43</v>
      </c>
      <c r="F104" s="10" t="b">
        <f>COUNTIF(tblBank[Reference],tblLedger[[#This Row],[Reference]])&gt;0</f>
        <v>1</v>
      </c>
      <c r="G104" s="10" t="str">
        <f>IFERROR(INDEX(tblBank[BankId],MATCH(tblLedger[[#This Row],[Entry]],tblBank[MatchedEntry],0)),"")</f>
        <v>B112</v>
      </c>
      <c r="H104" s="10" t="str">
        <f>IF(tblLedger[[#This Row],[BankId]]&lt;&gt;"","Matched",IF(tblLedger[[#This Row],[Amount]]&gt;0,"Deposit in transit","Outstanding payment"))</f>
        <v>Matched</v>
      </c>
      <c r="I104" s="10" t="str">
        <f>IF(tblLedger[[#This Row],[Status]]="Matched","",IF(tblLedger[[#This Row],[Status]]="Deposit in transit","Check it is credited on the January statement","Check it is debited on the January statement"))</f>
        <v/>
      </c>
      <c r="J104" s="10" t="str">
        <f>IF(tblLedger[[#This Row],[Status]]="Matched","",COUNTIF(tblBank[Status],"&lt;&gt;Matched")+COUNTIF(INDEX(tblLedger[Status],1):tblLedger[[#This Row],[Status]],"&lt;&gt;Matched"))</f>
        <v/>
      </c>
    </row>
    <row r="105" spans="1:10" x14ac:dyDescent="0.25">
      <c r="A105" s="10" t="s">
        <v>357</v>
      </c>
      <c r="B105" s="6">
        <v>46006</v>
      </c>
      <c r="C105" s="10" t="s">
        <v>358</v>
      </c>
      <c r="D105" s="10" t="s">
        <v>359</v>
      </c>
      <c r="E105" s="11">
        <v>423.07</v>
      </c>
      <c r="F105" s="10" t="b">
        <f>COUNTIF(tblBank[Reference],tblLedger[[#This Row],[Reference]])&gt;0</f>
        <v>1</v>
      </c>
      <c r="G105" s="10" t="str">
        <f>IFERROR(INDEX(tblBank[BankId],MATCH(tblLedger[[#This Row],[Entry]],tblBank[MatchedEntry],0)),"")</f>
        <v>B120</v>
      </c>
      <c r="H105" s="10" t="str">
        <f>IF(tblLedger[[#This Row],[BankId]]&lt;&gt;"","Matched",IF(tblLedger[[#This Row],[Amount]]&gt;0,"Deposit in transit","Outstanding payment"))</f>
        <v>Matched</v>
      </c>
      <c r="I105" s="10" t="str">
        <f>IF(tblLedger[[#This Row],[Status]]="Matched","",IF(tblLedger[[#This Row],[Status]]="Deposit in transit","Check it is credited on the January statement","Check it is debited on the January statement"))</f>
        <v/>
      </c>
      <c r="J105" s="10" t="str">
        <f>IF(tblLedger[[#This Row],[Status]]="Matched","",COUNTIF(tblBank[Status],"&lt;&gt;Matched")+COUNTIF(INDEX(tblLedger[Status],1):tblLedger[[#This Row],[Status]],"&lt;&gt;Matched"))</f>
        <v/>
      </c>
    </row>
    <row r="106" spans="1:10" x14ac:dyDescent="0.25">
      <c r="A106" s="10" t="s">
        <v>360</v>
      </c>
      <c r="B106" s="6">
        <v>46006</v>
      </c>
      <c r="C106" s="10" t="s">
        <v>361</v>
      </c>
      <c r="D106" s="10" t="s">
        <v>362</v>
      </c>
      <c r="E106" s="11">
        <v>15144.46</v>
      </c>
      <c r="F106" s="10" t="b">
        <f>COUNTIF(tblBank[Reference],tblLedger[[#This Row],[Reference]])&gt;0</f>
        <v>1</v>
      </c>
      <c r="G106" s="10" t="str">
        <f>IFERROR(INDEX(tblBank[BankId],MATCH(tblLedger[[#This Row],[Entry]],tblBank[MatchedEntry],0)),"")</f>
        <v>B113</v>
      </c>
      <c r="H106" s="10" t="str">
        <f>IF(tblLedger[[#This Row],[BankId]]&lt;&gt;"","Matched",IF(tblLedger[[#This Row],[Amount]]&gt;0,"Deposit in transit","Outstanding payment"))</f>
        <v>Matched</v>
      </c>
      <c r="I106" s="10" t="str">
        <f>IF(tblLedger[[#This Row],[Status]]="Matched","",IF(tblLedger[[#This Row],[Status]]="Deposit in transit","Check it is credited on the January statement","Check it is debited on the January statement"))</f>
        <v/>
      </c>
      <c r="J106" s="10" t="str">
        <f>IF(tblLedger[[#This Row],[Status]]="Matched","",COUNTIF(tblBank[Status],"&lt;&gt;Matched")+COUNTIF(INDEX(tblLedger[Status],1):tblLedger[[#This Row],[Status]],"&lt;&gt;Matched"))</f>
        <v/>
      </c>
    </row>
    <row r="107" spans="1:10" x14ac:dyDescent="0.25">
      <c r="A107" s="10" t="s">
        <v>363</v>
      </c>
      <c r="B107" s="6">
        <v>46006</v>
      </c>
      <c r="C107" s="10" t="s">
        <v>364</v>
      </c>
      <c r="D107" s="10" t="s">
        <v>365</v>
      </c>
      <c r="E107" s="11">
        <v>1136.76</v>
      </c>
      <c r="F107" s="10" t="b">
        <f>COUNTIF(tblBank[Reference],tblLedger[[#This Row],[Reference]])&gt;0</f>
        <v>1</v>
      </c>
      <c r="G107" s="10" t="str">
        <f>IFERROR(INDEX(tblBank[BankId],MATCH(tblLedger[[#This Row],[Entry]],tblBank[MatchedEntry],0)),"")</f>
        <v>B122</v>
      </c>
      <c r="H107" s="10" t="str">
        <f>IF(tblLedger[[#This Row],[BankId]]&lt;&gt;"","Matched",IF(tblLedger[[#This Row],[Amount]]&gt;0,"Deposit in transit","Outstanding payment"))</f>
        <v>Matched</v>
      </c>
      <c r="I107" s="10" t="str">
        <f>IF(tblLedger[[#This Row],[Status]]="Matched","",IF(tblLedger[[#This Row],[Status]]="Deposit in transit","Check it is credited on the January statement","Check it is debited on the January statement"))</f>
        <v/>
      </c>
      <c r="J107" s="10" t="str">
        <f>IF(tblLedger[[#This Row],[Status]]="Matched","",COUNTIF(tblBank[Status],"&lt;&gt;Matched")+COUNTIF(INDEX(tblLedger[Status],1):tblLedger[[#This Row],[Status]],"&lt;&gt;Matched"))</f>
        <v/>
      </c>
    </row>
    <row r="108" spans="1:10" x14ac:dyDescent="0.25">
      <c r="A108" s="10" t="s">
        <v>366</v>
      </c>
      <c r="B108" s="6">
        <v>46006</v>
      </c>
      <c r="C108" s="10" t="s">
        <v>367</v>
      </c>
      <c r="D108" s="10" t="s">
        <v>368</v>
      </c>
      <c r="E108" s="11">
        <v>-27394.68</v>
      </c>
      <c r="F108" s="10" t="b">
        <f>COUNTIF(tblBank[Reference],tblLedger[[#This Row],[Reference]])&gt;0</f>
        <v>1</v>
      </c>
      <c r="G108" s="10" t="str">
        <f>IFERROR(INDEX(tblBank[BankId],MATCH(tblLedger[[#This Row],[Entry]],tblBank[MatchedEntry],0)),"")</f>
        <v>B102</v>
      </c>
      <c r="H108" s="10" t="str">
        <f>IF(tblLedger[[#This Row],[BankId]]&lt;&gt;"","Matched",IF(tblLedger[[#This Row],[Amount]]&gt;0,"Deposit in transit","Outstanding payment"))</f>
        <v>Matched</v>
      </c>
      <c r="I108" s="10" t="str">
        <f>IF(tblLedger[[#This Row],[Status]]="Matched","",IF(tblLedger[[#This Row],[Status]]="Deposit in transit","Check it is credited on the January statement","Check it is debited on the January statement"))</f>
        <v/>
      </c>
      <c r="J108" s="10" t="str">
        <f>IF(tblLedger[[#This Row],[Status]]="Matched","",COUNTIF(tblBank[Status],"&lt;&gt;Matched")+COUNTIF(INDEX(tblLedger[Status],1):tblLedger[[#This Row],[Status]],"&lt;&gt;Matched"))</f>
        <v/>
      </c>
    </row>
    <row r="109" spans="1:10" x14ac:dyDescent="0.25">
      <c r="A109" s="10" t="s">
        <v>369</v>
      </c>
      <c r="B109" s="6">
        <v>46006</v>
      </c>
      <c r="C109" s="10" t="s">
        <v>370</v>
      </c>
      <c r="D109" s="10" t="s">
        <v>371</v>
      </c>
      <c r="E109" s="11">
        <v>2017.13</v>
      </c>
      <c r="F109" s="10" t="b">
        <f>COUNTIF(tblBank[Reference],tblLedger[[#This Row],[Reference]])&gt;0</f>
        <v>0</v>
      </c>
      <c r="G109" s="10" t="str">
        <f>IFERROR(INDEX(tblBank[BankId],MATCH(tblLedger[[#This Row],[Entry]],tblBank[MatchedEntry],0)),"")</f>
        <v>B115</v>
      </c>
      <c r="H109" s="10" t="str">
        <f>IF(tblLedger[[#This Row],[BankId]]&lt;&gt;"","Matched",IF(tblLedger[[#This Row],[Amount]]&gt;0,"Deposit in transit","Outstanding payment"))</f>
        <v>Matched</v>
      </c>
      <c r="I109" s="10" t="str">
        <f>IF(tblLedger[[#This Row],[Status]]="Matched","",IF(tblLedger[[#This Row],[Status]]="Deposit in transit","Check it is credited on the January statement","Check it is debited on the January statement"))</f>
        <v/>
      </c>
      <c r="J109" s="10" t="str">
        <f>IF(tblLedger[[#This Row],[Status]]="Matched","",COUNTIF(tblBank[Status],"&lt;&gt;Matched")+COUNTIF(INDEX(tblLedger[Status],1):tblLedger[[#This Row],[Status]],"&lt;&gt;Matched"))</f>
        <v/>
      </c>
    </row>
    <row r="110" spans="1:10" x14ac:dyDescent="0.25">
      <c r="A110" s="10" t="s">
        <v>372</v>
      </c>
      <c r="B110" s="6">
        <v>46006</v>
      </c>
      <c r="C110" s="10" t="s">
        <v>373</v>
      </c>
      <c r="D110" s="10" t="s">
        <v>374</v>
      </c>
      <c r="E110" s="11">
        <v>5064.3999999999996</v>
      </c>
      <c r="F110" s="10" t="b">
        <f>COUNTIF(tblBank[Reference],tblLedger[[#This Row],[Reference]])&gt;0</f>
        <v>1</v>
      </c>
      <c r="G110" s="10" t="str">
        <f>IFERROR(INDEX(tblBank[BankId],MATCH(tblLedger[[#This Row],[Entry]],tblBank[MatchedEntry],0)),"")</f>
        <v>B118</v>
      </c>
      <c r="H110" s="10" t="str">
        <f>IF(tblLedger[[#This Row],[BankId]]&lt;&gt;"","Matched",IF(tblLedger[[#This Row],[Amount]]&gt;0,"Deposit in transit","Outstanding payment"))</f>
        <v>Matched</v>
      </c>
      <c r="I110" s="10" t="str">
        <f>IF(tblLedger[[#This Row],[Status]]="Matched","",IF(tblLedger[[#This Row],[Status]]="Deposit in transit","Check it is credited on the January statement","Check it is debited on the January statement"))</f>
        <v/>
      </c>
      <c r="J110" s="10" t="str">
        <f>IF(tblLedger[[#This Row],[Status]]="Matched","",COUNTIF(tblBank[Status],"&lt;&gt;Matched")+COUNTIF(INDEX(tblLedger[Status],1):tblLedger[[#This Row],[Status]],"&lt;&gt;Matched"))</f>
        <v/>
      </c>
    </row>
    <row r="111" spans="1:10" x14ac:dyDescent="0.25">
      <c r="A111" s="10" t="s">
        <v>375</v>
      </c>
      <c r="B111" s="6">
        <v>46006</v>
      </c>
      <c r="C111" s="10" t="s">
        <v>376</v>
      </c>
      <c r="D111" s="10" t="s">
        <v>377</v>
      </c>
      <c r="E111" s="11">
        <v>-216.73</v>
      </c>
      <c r="F111" s="10" t="b">
        <f>COUNTIF(tblBank[Reference],tblLedger[[#This Row],[Reference]])&gt;0</f>
        <v>1</v>
      </c>
      <c r="G111" s="10" t="str">
        <f>IFERROR(INDEX(tblBank[BankId],MATCH(tblLedger[[#This Row],[Entry]],tblBank[MatchedEntry],0)),"")</f>
        <v>B126</v>
      </c>
      <c r="H111" s="10" t="str">
        <f>IF(tblLedger[[#This Row],[BankId]]&lt;&gt;"","Matched",IF(tblLedger[[#This Row],[Amount]]&gt;0,"Deposit in transit","Outstanding payment"))</f>
        <v>Matched</v>
      </c>
      <c r="I111" s="10" t="str">
        <f>IF(tblLedger[[#This Row],[Status]]="Matched","",IF(tblLedger[[#This Row],[Status]]="Deposit in transit","Check it is credited on the January statement","Check it is debited on the January statement"))</f>
        <v/>
      </c>
      <c r="J111" s="10" t="str">
        <f>IF(tblLedger[[#This Row],[Status]]="Matched","",COUNTIF(tblBank[Status],"&lt;&gt;Matched")+COUNTIF(INDEX(tblLedger[Status],1):tblLedger[[#This Row],[Status]],"&lt;&gt;Matched"))</f>
        <v/>
      </c>
    </row>
    <row r="112" spans="1:10" x14ac:dyDescent="0.25">
      <c r="A112" s="10" t="s">
        <v>378</v>
      </c>
      <c r="B112" s="6">
        <v>46006</v>
      </c>
      <c r="C112" s="10" t="s">
        <v>379</v>
      </c>
      <c r="D112" s="10" t="s">
        <v>380</v>
      </c>
      <c r="E112" s="11">
        <v>478.49</v>
      </c>
      <c r="F112" s="10" t="b">
        <f>COUNTIF(tblBank[Reference],tblLedger[[#This Row],[Reference]])&gt;0</f>
        <v>1</v>
      </c>
      <c r="G112" s="10" t="str">
        <f>IFERROR(INDEX(tblBank[BankId],MATCH(tblLedger[[#This Row],[Entry]],tblBank[MatchedEntry],0)),"")</f>
        <v>B121</v>
      </c>
      <c r="H112" s="10" t="str">
        <f>IF(tblLedger[[#This Row],[BankId]]&lt;&gt;"","Matched",IF(tblLedger[[#This Row],[Amount]]&gt;0,"Deposit in transit","Outstanding payment"))</f>
        <v>Matched</v>
      </c>
      <c r="I112" s="10" t="str">
        <f>IF(tblLedger[[#This Row],[Status]]="Matched","",IF(tblLedger[[#This Row],[Status]]="Deposit in transit","Check it is credited on the January statement","Check it is debited on the January statement"))</f>
        <v/>
      </c>
      <c r="J112" s="10" t="str">
        <f>IF(tblLedger[[#This Row],[Status]]="Matched","",COUNTIF(tblBank[Status],"&lt;&gt;Matched")+COUNTIF(INDEX(tblLedger[Status],1):tblLedger[[#This Row],[Status]],"&lt;&gt;Matched"))</f>
        <v/>
      </c>
    </row>
    <row r="113" spans="1:10" x14ac:dyDescent="0.25">
      <c r="A113" s="10" t="s">
        <v>381</v>
      </c>
      <c r="B113" s="6">
        <v>46006</v>
      </c>
      <c r="C113" s="10" t="s">
        <v>382</v>
      </c>
      <c r="D113" s="10" t="s">
        <v>383</v>
      </c>
      <c r="E113" s="11">
        <v>659.23</v>
      </c>
      <c r="F113" s="10" t="b">
        <f>COUNTIF(tblBank[Reference],tblLedger[[#This Row],[Reference]])&gt;0</f>
        <v>1</v>
      </c>
      <c r="G113" s="10" t="str">
        <f>IFERROR(INDEX(tblBank[BankId],MATCH(tblLedger[[#This Row],[Entry]],tblBank[MatchedEntry],0)),"")</f>
        <v>B107</v>
      </c>
      <c r="H113" s="10" t="str">
        <f>IF(tblLedger[[#This Row],[BankId]]&lt;&gt;"","Matched",IF(tblLedger[[#This Row],[Amount]]&gt;0,"Deposit in transit","Outstanding payment"))</f>
        <v>Matched</v>
      </c>
      <c r="I113" s="10" t="str">
        <f>IF(tblLedger[[#This Row],[Status]]="Matched","",IF(tblLedger[[#This Row],[Status]]="Deposit in transit","Check it is credited on the January statement","Check it is debited on the January statement"))</f>
        <v/>
      </c>
      <c r="J113" s="10" t="str">
        <f>IF(tblLedger[[#This Row],[Status]]="Matched","",COUNTIF(tblBank[Status],"&lt;&gt;Matched")+COUNTIF(INDEX(tblLedger[Status],1):tblLedger[[#This Row],[Status]],"&lt;&gt;Matched"))</f>
        <v/>
      </c>
    </row>
    <row r="114" spans="1:10" x14ac:dyDescent="0.25">
      <c r="A114" s="10" t="s">
        <v>384</v>
      </c>
      <c r="B114" s="6">
        <v>46006</v>
      </c>
      <c r="C114" s="10" t="s">
        <v>385</v>
      </c>
      <c r="D114" s="10" t="s">
        <v>386</v>
      </c>
      <c r="E114" s="11">
        <v>172.26</v>
      </c>
      <c r="F114" s="10" t="b">
        <f>COUNTIF(tblBank[Reference],tblLedger[[#This Row],[Reference]])&gt;0</f>
        <v>1</v>
      </c>
      <c r="G114" s="10" t="str">
        <f>IFERROR(INDEX(tblBank[BankId],MATCH(tblLedger[[#This Row],[Entry]],tblBank[MatchedEntry],0)),"")</f>
        <v>B119</v>
      </c>
      <c r="H114" s="10" t="str">
        <f>IF(tblLedger[[#This Row],[BankId]]&lt;&gt;"","Matched",IF(tblLedger[[#This Row],[Amount]]&gt;0,"Deposit in transit","Outstanding payment"))</f>
        <v>Matched</v>
      </c>
      <c r="I114" s="10" t="str">
        <f>IF(tblLedger[[#This Row],[Status]]="Matched","",IF(tblLedger[[#This Row],[Status]]="Deposit in transit","Check it is credited on the January statement","Check it is debited on the January statement"))</f>
        <v/>
      </c>
      <c r="J114" s="10" t="str">
        <f>IF(tblLedger[[#This Row],[Status]]="Matched","",COUNTIF(tblBank[Status],"&lt;&gt;Matched")+COUNTIF(INDEX(tblLedger[Status],1):tblLedger[[#This Row],[Status]],"&lt;&gt;Matched"))</f>
        <v/>
      </c>
    </row>
    <row r="115" spans="1:10" x14ac:dyDescent="0.25">
      <c r="A115" s="10" t="s">
        <v>387</v>
      </c>
      <c r="B115" s="6">
        <v>46006</v>
      </c>
      <c r="C115" s="10" t="s">
        <v>388</v>
      </c>
      <c r="D115" s="10" t="s">
        <v>389</v>
      </c>
      <c r="E115" s="11">
        <v>4279.79</v>
      </c>
      <c r="F115" s="10" t="b">
        <f>COUNTIF(tblBank[Reference],tblLedger[[#This Row],[Reference]])&gt;0</f>
        <v>1</v>
      </c>
      <c r="G115" s="10" t="str">
        <f>IFERROR(INDEX(tblBank[BankId],MATCH(tblLedger[[#This Row],[Entry]],tblBank[MatchedEntry],0)),"")</f>
        <v>B109</v>
      </c>
      <c r="H115" s="10" t="str">
        <f>IF(tblLedger[[#This Row],[BankId]]&lt;&gt;"","Matched",IF(tblLedger[[#This Row],[Amount]]&gt;0,"Deposit in transit","Outstanding payment"))</f>
        <v>Matched</v>
      </c>
      <c r="I115" s="10" t="str">
        <f>IF(tblLedger[[#This Row],[Status]]="Matched","",IF(tblLedger[[#This Row],[Status]]="Deposit in transit","Check it is credited on the January statement","Check it is debited on the January statement"))</f>
        <v/>
      </c>
      <c r="J115" s="10" t="str">
        <f>IF(tblLedger[[#This Row],[Status]]="Matched","",COUNTIF(tblBank[Status],"&lt;&gt;Matched")+COUNTIF(INDEX(tblLedger[Status],1):tblLedger[[#This Row],[Status]],"&lt;&gt;Matched"))</f>
        <v/>
      </c>
    </row>
    <row r="116" spans="1:10" x14ac:dyDescent="0.25">
      <c r="A116" s="10" t="s">
        <v>390</v>
      </c>
      <c r="B116" s="6">
        <v>46006</v>
      </c>
      <c r="C116" s="10" t="s">
        <v>391</v>
      </c>
      <c r="D116" s="10" t="s">
        <v>392</v>
      </c>
      <c r="E116" s="11">
        <v>2330.98</v>
      </c>
      <c r="F116" s="10" t="b">
        <f>COUNTIF(tblBank[Reference],tblLedger[[#This Row],[Reference]])&gt;0</f>
        <v>1</v>
      </c>
      <c r="G116" s="10" t="str">
        <f>IFERROR(INDEX(tblBank[BankId],MATCH(tblLedger[[#This Row],[Entry]],tblBank[MatchedEntry],0)),"")</f>
        <v>B123</v>
      </c>
      <c r="H116" s="10" t="str">
        <f>IF(tblLedger[[#This Row],[BankId]]&lt;&gt;"","Matched",IF(tblLedger[[#This Row],[Amount]]&gt;0,"Deposit in transit","Outstanding payment"))</f>
        <v>Matched</v>
      </c>
      <c r="I116" s="10" t="str">
        <f>IF(tblLedger[[#This Row],[Status]]="Matched","",IF(tblLedger[[#This Row],[Status]]="Deposit in transit","Check it is credited on the January statement","Check it is debited on the January statement"))</f>
        <v/>
      </c>
      <c r="J116" s="10" t="str">
        <f>IF(tblLedger[[#This Row],[Status]]="Matched","",COUNTIF(tblBank[Status],"&lt;&gt;Matched")+COUNTIF(INDEX(tblLedger[Status],1):tblLedger[[#This Row],[Status]],"&lt;&gt;Matched"))</f>
        <v/>
      </c>
    </row>
    <row r="117" spans="1:10" x14ac:dyDescent="0.25">
      <c r="A117" s="10" t="s">
        <v>393</v>
      </c>
      <c r="B117" s="6">
        <v>46006</v>
      </c>
      <c r="C117" s="10" t="s">
        <v>394</v>
      </c>
      <c r="D117" s="10" t="s">
        <v>395</v>
      </c>
      <c r="E117" s="11">
        <v>-175.44</v>
      </c>
      <c r="F117" s="10" t="b">
        <f>COUNTIF(tblBank[Reference],tblLedger[[#This Row],[Reference]])&gt;0</f>
        <v>0</v>
      </c>
      <c r="G117" s="10" t="str">
        <f>IFERROR(INDEX(tblBank[BankId],MATCH(tblLedger[[#This Row],[Entry]],tblBank[MatchedEntry],0)),"")</f>
        <v>B127</v>
      </c>
      <c r="H117" s="10" t="str">
        <f>IF(tblLedger[[#This Row],[BankId]]&lt;&gt;"","Matched",IF(tblLedger[[#This Row],[Amount]]&gt;0,"Deposit in transit","Outstanding payment"))</f>
        <v>Matched</v>
      </c>
      <c r="I117" s="10" t="str">
        <f>IF(tblLedger[[#This Row],[Status]]="Matched","",IF(tblLedger[[#This Row],[Status]]="Deposit in transit","Check it is credited on the January statement","Check it is debited on the January statement"))</f>
        <v/>
      </c>
      <c r="J117" s="10" t="str">
        <f>IF(tblLedger[[#This Row],[Status]]="Matched","",COUNTIF(tblBank[Status],"&lt;&gt;Matched")+COUNTIF(INDEX(tblLedger[Status],1):tblLedger[[#This Row],[Status]],"&lt;&gt;Matched"))</f>
        <v/>
      </c>
    </row>
    <row r="118" spans="1:10" x14ac:dyDescent="0.25">
      <c r="A118" s="10" t="s">
        <v>396</v>
      </c>
      <c r="B118" s="6">
        <v>46006</v>
      </c>
      <c r="C118" s="10" t="s">
        <v>397</v>
      </c>
      <c r="D118" s="10" t="s">
        <v>398</v>
      </c>
      <c r="E118" s="11">
        <v>473.69</v>
      </c>
      <c r="F118" s="10" t="b">
        <f>COUNTIF(tblBank[Reference],tblLedger[[#This Row],[Reference]])&gt;0</f>
        <v>1</v>
      </c>
      <c r="G118" s="10" t="str">
        <f>IFERROR(INDEX(tblBank[BankId],MATCH(tblLedger[[#This Row],[Entry]],tblBank[MatchedEntry],0)),"")</f>
        <v>B111</v>
      </c>
      <c r="H118" s="10" t="str">
        <f>IF(tblLedger[[#This Row],[BankId]]&lt;&gt;"","Matched",IF(tblLedger[[#This Row],[Amount]]&gt;0,"Deposit in transit","Outstanding payment"))</f>
        <v>Matched</v>
      </c>
      <c r="I118" s="10" t="str">
        <f>IF(tblLedger[[#This Row],[Status]]="Matched","",IF(tblLedger[[#This Row],[Status]]="Deposit in transit","Check it is credited on the January statement","Check it is debited on the January statement"))</f>
        <v/>
      </c>
      <c r="J118" s="10" t="str">
        <f>IF(tblLedger[[#This Row],[Status]]="Matched","",COUNTIF(tblBank[Status],"&lt;&gt;Matched")+COUNTIF(INDEX(tblLedger[Status],1):tblLedger[[#This Row],[Status]],"&lt;&gt;Matched"))</f>
        <v/>
      </c>
    </row>
    <row r="119" spans="1:10" x14ac:dyDescent="0.25">
      <c r="A119" s="10" t="s">
        <v>399</v>
      </c>
      <c r="B119" s="6">
        <v>46006</v>
      </c>
      <c r="C119" s="10" t="s">
        <v>400</v>
      </c>
      <c r="D119" s="10" t="s">
        <v>401</v>
      </c>
      <c r="E119" s="11">
        <v>417.6</v>
      </c>
      <c r="F119" s="10" t="b">
        <f>COUNTIF(tblBank[Reference],tblLedger[[#This Row],[Reference]])&gt;0</f>
        <v>1</v>
      </c>
      <c r="G119" s="10" t="str">
        <f>IFERROR(INDEX(tblBank[BankId],MATCH(tblLedger[[#This Row],[Entry]],tblBank[MatchedEntry],0)),"")</f>
        <v>B117</v>
      </c>
      <c r="H119" s="10" t="str">
        <f>IF(tblLedger[[#This Row],[BankId]]&lt;&gt;"","Matched",IF(tblLedger[[#This Row],[Amount]]&gt;0,"Deposit in transit","Outstanding payment"))</f>
        <v>Matched</v>
      </c>
      <c r="I119" s="10" t="str">
        <f>IF(tblLedger[[#This Row],[Status]]="Matched","",IF(tblLedger[[#This Row],[Status]]="Deposit in transit","Check it is credited on the January statement","Check it is debited on the January statement"))</f>
        <v/>
      </c>
      <c r="J119" s="10" t="str">
        <f>IF(tblLedger[[#This Row],[Status]]="Matched","",COUNTIF(tblBank[Status],"&lt;&gt;Matched")+COUNTIF(INDEX(tblLedger[Status],1):tblLedger[[#This Row],[Status]],"&lt;&gt;Matched"))</f>
        <v/>
      </c>
    </row>
    <row r="120" spans="1:10" x14ac:dyDescent="0.25">
      <c r="A120" s="10" t="s">
        <v>402</v>
      </c>
      <c r="B120" s="6">
        <v>46006</v>
      </c>
      <c r="C120" s="10" t="s">
        <v>403</v>
      </c>
      <c r="D120" s="10" t="s">
        <v>404</v>
      </c>
      <c r="E120" s="11">
        <v>8661.7800000000007</v>
      </c>
      <c r="F120" s="10" t="b">
        <f>COUNTIF(tblBank[Reference],tblLedger[[#This Row],[Reference]])&gt;0</f>
        <v>1</v>
      </c>
      <c r="G120" s="10" t="str">
        <f>IFERROR(INDEX(tblBank[BankId],MATCH(tblLedger[[#This Row],[Entry]],tblBank[MatchedEntry],0)),"")</f>
        <v>B110</v>
      </c>
      <c r="H120" s="10" t="str">
        <f>IF(tblLedger[[#This Row],[BankId]]&lt;&gt;"","Matched",IF(tblLedger[[#This Row],[Amount]]&gt;0,"Deposit in transit","Outstanding payment"))</f>
        <v>Matched</v>
      </c>
      <c r="I120" s="10" t="str">
        <f>IF(tblLedger[[#This Row],[Status]]="Matched","",IF(tblLedger[[#This Row],[Status]]="Deposit in transit","Check it is credited on the January statement","Check it is debited on the January statement"))</f>
        <v/>
      </c>
      <c r="J120" s="10" t="str">
        <f>IF(tblLedger[[#This Row],[Status]]="Matched","",COUNTIF(tblBank[Status],"&lt;&gt;Matched")+COUNTIF(INDEX(tblLedger[Status],1):tblLedger[[#This Row],[Status]],"&lt;&gt;Matched"))</f>
        <v/>
      </c>
    </row>
    <row r="121" spans="1:10" x14ac:dyDescent="0.25">
      <c r="A121" s="10" t="s">
        <v>405</v>
      </c>
      <c r="B121" s="6">
        <v>46006</v>
      </c>
      <c r="C121" s="10" t="s">
        <v>406</v>
      </c>
      <c r="D121" s="10" t="s">
        <v>407</v>
      </c>
      <c r="E121" s="11">
        <v>-1595.7</v>
      </c>
      <c r="F121" s="10" t="b">
        <f>COUNTIF(tblBank[Reference],tblLedger[[#This Row],[Reference]])&gt;0</f>
        <v>1</v>
      </c>
      <c r="G121" s="10" t="str">
        <f>IFERROR(INDEX(tblBank[BankId],MATCH(tblLedger[[#This Row],[Entry]],tblBank[MatchedEntry],0)),"")</f>
        <v>B125</v>
      </c>
      <c r="H121" s="10" t="str">
        <f>IF(tblLedger[[#This Row],[BankId]]&lt;&gt;"","Matched",IF(tblLedger[[#This Row],[Amount]]&gt;0,"Deposit in transit","Outstanding payment"))</f>
        <v>Matched</v>
      </c>
      <c r="I121" s="10" t="str">
        <f>IF(tblLedger[[#This Row],[Status]]="Matched","",IF(tblLedger[[#This Row],[Status]]="Deposit in transit","Check it is credited on the January statement","Check it is debited on the January statement"))</f>
        <v/>
      </c>
      <c r="J121" s="10" t="str">
        <f>IF(tblLedger[[#This Row],[Status]]="Matched","",COUNTIF(tblBank[Status],"&lt;&gt;Matched")+COUNTIF(INDEX(tblLedger[Status],1):tblLedger[[#This Row],[Status]],"&lt;&gt;Matched"))</f>
        <v/>
      </c>
    </row>
    <row r="122" spans="1:10" x14ac:dyDescent="0.25">
      <c r="A122" s="10" t="s">
        <v>408</v>
      </c>
      <c r="B122" s="6">
        <v>46006</v>
      </c>
      <c r="C122" s="10" t="s">
        <v>409</v>
      </c>
      <c r="D122" s="10" t="s">
        <v>410</v>
      </c>
      <c r="E122" s="11">
        <v>962.26</v>
      </c>
      <c r="F122" s="10" t="b">
        <f>COUNTIF(tblBank[Reference],tblLedger[[#This Row],[Reference]])&gt;0</f>
        <v>1</v>
      </c>
      <c r="G122" s="10" t="str">
        <f>IFERROR(INDEX(tblBank[BankId],MATCH(tblLedger[[#This Row],[Entry]],tblBank[MatchedEntry],0)),"")</f>
        <v>B106</v>
      </c>
      <c r="H122" s="10" t="str">
        <f>IF(tblLedger[[#This Row],[BankId]]&lt;&gt;"","Matched",IF(tblLedger[[#This Row],[Amount]]&gt;0,"Deposit in transit","Outstanding payment"))</f>
        <v>Matched</v>
      </c>
      <c r="I122" s="10" t="str">
        <f>IF(tblLedger[[#This Row],[Status]]="Matched","",IF(tblLedger[[#This Row],[Status]]="Deposit in transit","Check it is credited on the January statement","Check it is debited on the January statement"))</f>
        <v/>
      </c>
      <c r="J122" s="10" t="str">
        <f>IF(tblLedger[[#This Row],[Status]]="Matched","",COUNTIF(tblBank[Status],"&lt;&gt;Matched")+COUNTIF(INDEX(tblLedger[Status],1):tblLedger[[#This Row],[Status]],"&lt;&gt;Matched"))</f>
        <v/>
      </c>
    </row>
    <row r="123" spans="1:10" x14ac:dyDescent="0.25">
      <c r="A123" s="10" t="s">
        <v>411</v>
      </c>
      <c r="B123" s="6">
        <v>46006</v>
      </c>
      <c r="C123" s="10" t="s">
        <v>412</v>
      </c>
      <c r="D123" s="10" t="s">
        <v>413</v>
      </c>
      <c r="E123" s="11">
        <v>326.17</v>
      </c>
      <c r="F123" s="10" t="b">
        <f>COUNTIF(tblBank[Reference],tblLedger[[#This Row],[Reference]])&gt;0</f>
        <v>1</v>
      </c>
      <c r="G123" s="10" t="str">
        <f>IFERROR(INDEX(tblBank[BankId],MATCH(tblLedger[[#This Row],[Entry]],tblBank[MatchedEntry],0)),"")</f>
        <v>B114</v>
      </c>
      <c r="H123" s="10" t="str">
        <f>IF(tblLedger[[#This Row],[BankId]]&lt;&gt;"","Matched",IF(tblLedger[[#This Row],[Amount]]&gt;0,"Deposit in transit","Outstanding payment"))</f>
        <v>Matched</v>
      </c>
      <c r="I123" s="10" t="str">
        <f>IF(tblLedger[[#This Row],[Status]]="Matched","",IF(tblLedger[[#This Row],[Status]]="Deposit in transit","Check it is credited on the January statement","Check it is debited on the January statement"))</f>
        <v/>
      </c>
      <c r="J123" s="10" t="str">
        <f>IF(tblLedger[[#This Row],[Status]]="Matched","",COUNTIF(tblBank[Status],"&lt;&gt;Matched")+COUNTIF(INDEX(tblLedger[Status],1):tblLedger[[#This Row],[Status]],"&lt;&gt;Matched"))</f>
        <v/>
      </c>
    </row>
    <row r="124" spans="1:10" x14ac:dyDescent="0.25">
      <c r="A124" s="10" t="s">
        <v>414</v>
      </c>
      <c r="B124" s="6">
        <v>46006</v>
      </c>
      <c r="C124" s="10" t="s">
        <v>415</v>
      </c>
      <c r="D124" s="10" t="s">
        <v>416</v>
      </c>
      <c r="E124" s="11">
        <v>-23340.41</v>
      </c>
      <c r="F124" s="10" t="b">
        <f>COUNTIF(tblBank[Reference],tblLedger[[#This Row],[Reference]])&gt;0</f>
        <v>1</v>
      </c>
      <c r="G124" s="10" t="str">
        <f>IFERROR(INDEX(tblBank[BankId],MATCH(tblLedger[[#This Row],[Entry]],tblBank[MatchedEntry],0)),"")</f>
        <v>B104</v>
      </c>
      <c r="H124" s="10" t="str">
        <f>IF(tblLedger[[#This Row],[BankId]]&lt;&gt;"","Matched",IF(tblLedger[[#This Row],[Amount]]&gt;0,"Deposit in transit","Outstanding payment"))</f>
        <v>Matched</v>
      </c>
      <c r="I124" s="10" t="str">
        <f>IF(tblLedger[[#This Row],[Status]]="Matched","",IF(tblLedger[[#This Row],[Status]]="Deposit in transit","Check it is credited on the January statement","Check it is debited on the January statement"))</f>
        <v/>
      </c>
      <c r="J124" s="10" t="str">
        <f>IF(tblLedger[[#This Row],[Status]]="Matched","",COUNTIF(tblBank[Status],"&lt;&gt;Matched")+COUNTIF(INDEX(tblLedger[Status],1):tblLedger[[#This Row],[Status]],"&lt;&gt;Matched"))</f>
        <v/>
      </c>
    </row>
    <row r="125" spans="1:10" x14ac:dyDescent="0.25">
      <c r="A125" s="10" t="s">
        <v>417</v>
      </c>
      <c r="B125" s="6">
        <v>46006</v>
      </c>
      <c r="C125" s="10" t="s">
        <v>418</v>
      </c>
      <c r="D125" s="10" t="s">
        <v>419</v>
      </c>
      <c r="E125" s="11">
        <v>4658.9799999999996</v>
      </c>
      <c r="F125" s="10" t="b">
        <f>COUNTIF(tblBank[Reference],tblLedger[[#This Row],[Reference]])&gt;0</f>
        <v>1</v>
      </c>
      <c r="G125" s="10" t="str">
        <f>IFERROR(INDEX(tblBank[BankId],MATCH(tblLedger[[#This Row],[Entry]],tblBank[MatchedEntry],0)),"")</f>
        <v>B116</v>
      </c>
      <c r="H125" s="10" t="str">
        <f>IF(tblLedger[[#This Row],[BankId]]&lt;&gt;"","Matched",IF(tblLedger[[#This Row],[Amount]]&gt;0,"Deposit in transit","Outstanding payment"))</f>
        <v>Matched</v>
      </c>
      <c r="I125" s="10" t="str">
        <f>IF(tblLedger[[#This Row],[Status]]="Matched","",IF(tblLedger[[#This Row],[Status]]="Deposit in transit","Check it is credited on the January statement","Check it is debited on the January statement"))</f>
        <v/>
      </c>
      <c r="J125" s="10" t="str">
        <f>IF(tblLedger[[#This Row],[Status]]="Matched","",COUNTIF(tblBank[Status],"&lt;&gt;Matched")+COUNTIF(INDEX(tblLedger[Status],1):tblLedger[[#This Row],[Status]],"&lt;&gt;Matched"))</f>
        <v/>
      </c>
    </row>
    <row r="126" spans="1:10" x14ac:dyDescent="0.25">
      <c r="A126" s="10" t="s">
        <v>420</v>
      </c>
      <c r="B126" s="6">
        <v>46006</v>
      </c>
      <c r="C126" s="10" t="s">
        <v>421</v>
      </c>
      <c r="D126" s="10" t="s">
        <v>422</v>
      </c>
      <c r="E126" s="11">
        <v>1449.53</v>
      </c>
      <c r="F126" s="10" t="b">
        <f>COUNTIF(tblBank[Reference],tblLedger[[#This Row],[Reference]])&gt;0</f>
        <v>1</v>
      </c>
      <c r="G126" s="10" t="str">
        <f>IFERROR(INDEX(tblBank[BankId],MATCH(tblLedger[[#This Row],[Entry]],tblBank[MatchedEntry],0)),"")</f>
        <v>B108</v>
      </c>
      <c r="H126" s="10" t="str">
        <f>IF(tblLedger[[#This Row],[BankId]]&lt;&gt;"","Matched",IF(tblLedger[[#This Row],[Amount]]&gt;0,"Deposit in transit","Outstanding payment"))</f>
        <v>Matched</v>
      </c>
      <c r="I126" s="10" t="str">
        <f>IF(tblLedger[[#This Row],[Status]]="Matched","",IF(tblLedger[[#This Row],[Status]]="Deposit in transit","Check it is credited on the January statement","Check it is debited on the January statement"))</f>
        <v/>
      </c>
      <c r="J126" s="10" t="str">
        <f>IF(tblLedger[[#This Row],[Status]]="Matched","",COUNTIF(tblBank[Status],"&lt;&gt;Matched")+COUNTIF(INDEX(tblLedger[Status],1):tblLedger[[#This Row],[Status]],"&lt;&gt;Matched"))</f>
        <v/>
      </c>
    </row>
    <row r="127" spans="1:10" x14ac:dyDescent="0.25">
      <c r="A127" s="10" t="s">
        <v>423</v>
      </c>
      <c r="B127" s="6">
        <v>46007</v>
      </c>
      <c r="C127" s="10" t="s">
        <v>424</v>
      </c>
      <c r="D127" s="10" t="s">
        <v>425</v>
      </c>
      <c r="E127" s="11">
        <v>12008.59</v>
      </c>
      <c r="F127" s="10" t="b">
        <f>COUNTIF(tblBank[Reference],tblLedger[[#This Row],[Reference]])&gt;0</f>
        <v>1</v>
      </c>
      <c r="G127" s="10" t="str">
        <f>IFERROR(INDEX(tblBank[BankId],MATCH(tblLedger[[#This Row],[Entry]],tblBank[MatchedEntry],0)),"")</f>
        <v>B130</v>
      </c>
      <c r="H127" s="10" t="str">
        <f>IF(tblLedger[[#This Row],[BankId]]&lt;&gt;"","Matched",IF(tblLedger[[#This Row],[Amount]]&gt;0,"Deposit in transit","Outstanding payment"))</f>
        <v>Matched</v>
      </c>
      <c r="I127" s="10" t="str">
        <f>IF(tblLedger[[#This Row],[Status]]="Matched","",IF(tblLedger[[#This Row],[Status]]="Deposit in transit","Check it is credited on the January statement","Check it is debited on the January statement"))</f>
        <v/>
      </c>
      <c r="J127" s="10" t="str">
        <f>IF(tblLedger[[#This Row],[Status]]="Matched","",COUNTIF(tblBank[Status],"&lt;&gt;Matched")+COUNTIF(INDEX(tblLedger[Status],1):tblLedger[[#This Row],[Status]],"&lt;&gt;Matched"))</f>
        <v/>
      </c>
    </row>
    <row r="128" spans="1:10" x14ac:dyDescent="0.25">
      <c r="A128" s="10" t="s">
        <v>426</v>
      </c>
      <c r="B128" s="6">
        <v>46007</v>
      </c>
      <c r="C128" s="10" t="s">
        <v>427</v>
      </c>
      <c r="D128" s="10" t="s">
        <v>428</v>
      </c>
      <c r="E128" s="11">
        <v>3420.07</v>
      </c>
      <c r="F128" s="10" t="b">
        <f>COUNTIF(tblBank[Reference],tblLedger[[#This Row],[Reference]])&gt;0</f>
        <v>1</v>
      </c>
      <c r="G128" s="10" t="str">
        <f>IFERROR(INDEX(tblBank[BankId],MATCH(tblLedger[[#This Row],[Entry]],tblBank[MatchedEntry],0)),"")</f>
        <v>B128</v>
      </c>
      <c r="H128" s="10" t="str">
        <f>IF(tblLedger[[#This Row],[BankId]]&lt;&gt;"","Matched",IF(tblLedger[[#This Row],[Amount]]&gt;0,"Deposit in transit","Outstanding payment"))</f>
        <v>Matched</v>
      </c>
      <c r="I128" s="10" t="str">
        <f>IF(tblLedger[[#This Row],[Status]]="Matched","",IF(tblLedger[[#This Row],[Status]]="Deposit in transit","Check it is credited on the January statement","Check it is debited on the January statement"))</f>
        <v/>
      </c>
      <c r="J128" s="10" t="str">
        <f>IF(tblLedger[[#This Row],[Status]]="Matched","",COUNTIF(tblBank[Status],"&lt;&gt;Matched")+COUNTIF(INDEX(tblLedger[Status],1):tblLedger[[#This Row],[Status]],"&lt;&gt;Matched"))</f>
        <v/>
      </c>
    </row>
    <row r="129" spans="1:10" x14ac:dyDescent="0.25">
      <c r="A129" s="10" t="s">
        <v>429</v>
      </c>
      <c r="B129" s="6">
        <v>46007</v>
      </c>
      <c r="C129" s="10" t="s">
        <v>430</v>
      </c>
      <c r="D129" s="10" t="s">
        <v>431</v>
      </c>
      <c r="E129" s="11">
        <v>704.8</v>
      </c>
      <c r="F129" s="10" t="b">
        <f>COUNTIF(tblBank[Reference],tblLedger[[#This Row],[Reference]])&gt;0</f>
        <v>1</v>
      </c>
      <c r="G129" s="10" t="str">
        <f>IFERROR(INDEX(tblBank[BankId],MATCH(tblLedger[[#This Row],[Entry]],tblBank[MatchedEntry],0)),"")</f>
        <v>B129</v>
      </c>
      <c r="H129" s="10" t="str">
        <f>IF(tblLedger[[#This Row],[BankId]]&lt;&gt;"","Matched",IF(tblLedger[[#This Row],[Amount]]&gt;0,"Deposit in transit","Outstanding payment"))</f>
        <v>Matched</v>
      </c>
      <c r="I129" s="10" t="str">
        <f>IF(tblLedger[[#This Row],[Status]]="Matched","",IF(tblLedger[[#This Row],[Status]]="Deposit in transit","Check it is credited on the January statement","Check it is debited on the January statement"))</f>
        <v/>
      </c>
      <c r="J129" s="10" t="str">
        <f>IF(tblLedger[[#This Row],[Status]]="Matched","",COUNTIF(tblBank[Status],"&lt;&gt;Matched")+COUNTIF(INDEX(tblLedger[Status],1):tblLedger[[#This Row],[Status]],"&lt;&gt;Matched"))</f>
        <v/>
      </c>
    </row>
    <row r="130" spans="1:10" x14ac:dyDescent="0.25">
      <c r="A130" s="10" t="s">
        <v>432</v>
      </c>
      <c r="B130" s="6">
        <v>46007</v>
      </c>
      <c r="C130" s="10" t="s">
        <v>433</v>
      </c>
      <c r="D130" s="10" t="s">
        <v>434</v>
      </c>
      <c r="E130" s="11">
        <v>587.48</v>
      </c>
      <c r="F130" s="10" t="b">
        <f>COUNTIF(tblBank[Reference],tblLedger[[#This Row],[Reference]])&gt;0</f>
        <v>0</v>
      </c>
      <c r="G130" s="10" t="str">
        <f>IFERROR(INDEX(tblBank[BankId],MATCH(tblLedger[[#This Row],[Entry]],tblBank[MatchedEntry],0)),"")</f>
        <v>B131</v>
      </c>
      <c r="H130" s="10" t="str">
        <f>IF(tblLedger[[#This Row],[BankId]]&lt;&gt;"","Matched",IF(tblLedger[[#This Row],[Amount]]&gt;0,"Deposit in transit","Outstanding payment"))</f>
        <v>Matched</v>
      </c>
      <c r="I130" s="10" t="str">
        <f>IF(tblLedger[[#This Row],[Status]]="Matched","",IF(tblLedger[[#This Row],[Status]]="Deposit in transit","Check it is credited on the January statement","Check it is debited on the January statement"))</f>
        <v/>
      </c>
      <c r="J130" s="10" t="str">
        <f>IF(tblLedger[[#This Row],[Status]]="Matched","",COUNTIF(tblBank[Status],"&lt;&gt;Matched")+COUNTIF(INDEX(tblLedger[Status],1):tblLedger[[#This Row],[Status]],"&lt;&gt;Matched"))</f>
        <v/>
      </c>
    </row>
    <row r="131" spans="1:10" x14ac:dyDescent="0.25">
      <c r="A131" s="10" t="s">
        <v>435</v>
      </c>
      <c r="B131" s="6">
        <v>46008</v>
      </c>
      <c r="C131" s="10" t="s">
        <v>436</v>
      </c>
      <c r="D131" s="10" t="s">
        <v>437</v>
      </c>
      <c r="E131" s="11">
        <v>818.46</v>
      </c>
      <c r="F131" s="10" t="b">
        <f>COUNTIF(tblBank[Reference],tblLedger[[#This Row],[Reference]])&gt;0</f>
        <v>1</v>
      </c>
      <c r="G131" s="10" t="str">
        <f>IFERROR(INDEX(tblBank[BankId],MATCH(tblLedger[[#This Row],[Entry]],tblBank[MatchedEntry],0)),"")</f>
        <v>B135</v>
      </c>
      <c r="H131" s="10" t="str">
        <f>IF(tblLedger[[#This Row],[BankId]]&lt;&gt;"","Matched",IF(tblLedger[[#This Row],[Amount]]&gt;0,"Deposit in transit","Outstanding payment"))</f>
        <v>Matched</v>
      </c>
      <c r="I131" s="10" t="str">
        <f>IF(tblLedger[[#This Row],[Status]]="Matched","",IF(tblLedger[[#This Row],[Status]]="Deposit in transit","Check it is credited on the January statement","Check it is debited on the January statement"))</f>
        <v/>
      </c>
      <c r="J131" s="10" t="str">
        <f>IF(tblLedger[[#This Row],[Status]]="Matched","",COUNTIF(tblBank[Status],"&lt;&gt;Matched")+COUNTIF(INDEX(tblLedger[Status],1):tblLedger[[#This Row],[Status]],"&lt;&gt;Matched"))</f>
        <v/>
      </c>
    </row>
    <row r="132" spans="1:10" x14ac:dyDescent="0.25">
      <c r="A132" s="10" t="s">
        <v>438</v>
      </c>
      <c r="B132" s="6">
        <v>46008</v>
      </c>
      <c r="C132" s="10" t="s">
        <v>439</v>
      </c>
      <c r="D132" s="10" t="s">
        <v>440</v>
      </c>
      <c r="E132" s="11">
        <v>-96.59</v>
      </c>
      <c r="F132" s="10" t="b">
        <f>COUNTIF(tblBank[Reference],tblLedger[[#This Row],[Reference]])&gt;0</f>
        <v>1</v>
      </c>
      <c r="G132" s="10" t="str">
        <f>IFERROR(INDEX(tblBank[BankId],MATCH(tblLedger[[#This Row],[Entry]],tblBank[MatchedEntry],0)),"")</f>
        <v>B132</v>
      </c>
      <c r="H132" s="10" t="str">
        <f>IF(tblLedger[[#This Row],[BankId]]&lt;&gt;"","Matched",IF(tblLedger[[#This Row],[Amount]]&gt;0,"Deposit in transit","Outstanding payment"))</f>
        <v>Matched</v>
      </c>
      <c r="I132" s="10" t="str">
        <f>IF(tblLedger[[#This Row],[Status]]="Matched","",IF(tblLedger[[#This Row],[Status]]="Deposit in transit","Check it is credited on the January statement","Check it is debited on the January statement"))</f>
        <v/>
      </c>
      <c r="J132" s="10" t="str">
        <f>IF(tblLedger[[#This Row],[Status]]="Matched","",COUNTIF(tblBank[Status],"&lt;&gt;Matched")+COUNTIF(INDEX(tblLedger[Status],1):tblLedger[[#This Row],[Status]],"&lt;&gt;Matched"))</f>
        <v/>
      </c>
    </row>
    <row r="133" spans="1:10" x14ac:dyDescent="0.25">
      <c r="A133" s="10" t="s">
        <v>441</v>
      </c>
      <c r="B133" s="6">
        <v>46008</v>
      </c>
      <c r="C133" s="10" t="s">
        <v>442</v>
      </c>
      <c r="D133" s="10" t="s">
        <v>443</v>
      </c>
      <c r="E133" s="11">
        <v>946.45</v>
      </c>
      <c r="F133" s="10" t="b">
        <f>COUNTIF(tblBank[Reference],tblLedger[[#This Row],[Reference]])&gt;0</f>
        <v>1</v>
      </c>
      <c r="G133" s="10" t="str">
        <f>IFERROR(INDEX(tblBank[BankId],MATCH(tblLedger[[#This Row],[Entry]],tblBank[MatchedEntry],0)),"")</f>
        <v>B134</v>
      </c>
      <c r="H133" s="10" t="str">
        <f>IF(tblLedger[[#This Row],[BankId]]&lt;&gt;"","Matched",IF(tblLedger[[#This Row],[Amount]]&gt;0,"Deposit in transit","Outstanding payment"))</f>
        <v>Matched</v>
      </c>
      <c r="I133" s="10" t="str">
        <f>IF(tblLedger[[#This Row],[Status]]="Matched","",IF(tblLedger[[#This Row],[Status]]="Deposit in transit","Check it is credited on the January statement","Check it is debited on the January statement"))</f>
        <v/>
      </c>
      <c r="J133" s="10" t="str">
        <f>IF(tblLedger[[#This Row],[Status]]="Matched","",COUNTIF(tblBank[Status],"&lt;&gt;Matched")+COUNTIF(INDEX(tblLedger[Status],1):tblLedger[[#This Row],[Status]],"&lt;&gt;Matched"))</f>
        <v/>
      </c>
    </row>
    <row r="134" spans="1:10" x14ac:dyDescent="0.25">
      <c r="A134" s="10" t="s">
        <v>444</v>
      </c>
      <c r="B134" s="6">
        <v>46008</v>
      </c>
      <c r="C134" s="10" t="s">
        <v>445</v>
      </c>
      <c r="D134" s="10" t="s">
        <v>446</v>
      </c>
      <c r="E134" s="11">
        <v>173.03</v>
      </c>
      <c r="F134" s="10" t="b">
        <f>COUNTIF(tblBank[Reference],tblLedger[[#This Row],[Reference]])&gt;0</f>
        <v>1</v>
      </c>
      <c r="G134" s="10" t="str">
        <f>IFERROR(INDEX(tblBank[BankId],MATCH(tblLedger[[#This Row],[Entry]],tblBank[MatchedEntry],0)),"")</f>
        <v>B136</v>
      </c>
      <c r="H134" s="10" t="str">
        <f>IF(tblLedger[[#This Row],[BankId]]&lt;&gt;"","Matched",IF(tblLedger[[#This Row],[Amount]]&gt;0,"Deposit in transit","Outstanding payment"))</f>
        <v>Matched</v>
      </c>
      <c r="I134" s="10" t="str">
        <f>IF(tblLedger[[#This Row],[Status]]="Matched","",IF(tblLedger[[#This Row],[Status]]="Deposit in transit","Check it is credited on the January statement","Check it is debited on the January statement"))</f>
        <v/>
      </c>
      <c r="J134" s="10" t="str">
        <f>IF(tblLedger[[#This Row],[Status]]="Matched","",COUNTIF(tblBank[Status],"&lt;&gt;Matched")+COUNTIF(INDEX(tblLedger[Status],1):tblLedger[[#This Row],[Status]],"&lt;&gt;Matched"))</f>
        <v/>
      </c>
    </row>
    <row r="135" spans="1:10" x14ac:dyDescent="0.25">
      <c r="A135" s="10" t="s">
        <v>447</v>
      </c>
      <c r="B135" s="6">
        <v>46008</v>
      </c>
      <c r="C135" s="10" t="s">
        <v>448</v>
      </c>
      <c r="D135" s="10" t="s">
        <v>449</v>
      </c>
      <c r="E135" s="11">
        <v>731.77</v>
      </c>
      <c r="F135" s="10" t="b">
        <f>COUNTIF(tblBank[Reference],tblLedger[[#This Row],[Reference]])&gt;0</f>
        <v>1</v>
      </c>
      <c r="G135" s="10" t="str">
        <f>IFERROR(INDEX(tblBank[BankId],MATCH(tblLedger[[#This Row],[Entry]],tblBank[MatchedEntry],0)),"")</f>
        <v>B133</v>
      </c>
      <c r="H135" s="10" t="str">
        <f>IF(tblLedger[[#This Row],[BankId]]&lt;&gt;"","Matched",IF(tblLedger[[#This Row],[Amount]]&gt;0,"Deposit in transit","Outstanding payment"))</f>
        <v>Matched</v>
      </c>
      <c r="I135" s="10" t="str">
        <f>IF(tblLedger[[#This Row],[Status]]="Matched","",IF(tblLedger[[#This Row],[Status]]="Deposit in transit","Check it is credited on the January statement","Check it is debited on the January statement"))</f>
        <v/>
      </c>
      <c r="J135" s="10" t="str">
        <f>IF(tblLedger[[#This Row],[Status]]="Matched","",COUNTIF(tblBank[Status],"&lt;&gt;Matched")+COUNTIF(INDEX(tblLedger[Status],1):tblLedger[[#This Row],[Status]],"&lt;&gt;Matched"))</f>
        <v/>
      </c>
    </row>
    <row r="136" spans="1:10" x14ac:dyDescent="0.25">
      <c r="A136" s="10" t="s">
        <v>450</v>
      </c>
      <c r="B136" s="6">
        <v>46008</v>
      </c>
      <c r="C136" s="10" t="s">
        <v>451</v>
      </c>
      <c r="D136" s="10" t="s">
        <v>452</v>
      </c>
      <c r="E136" s="11">
        <v>-34.450000000000003</v>
      </c>
      <c r="F136" s="10" t="b">
        <f>COUNTIF(tblBank[Reference],tblLedger[[#This Row],[Reference]])&gt;0</f>
        <v>1</v>
      </c>
      <c r="G136" s="10" t="str">
        <f>IFERROR(INDEX(tblBank[BankId],MATCH(tblLedger[[#This Row],[Entry]],tblBank[MatchedEntry],0)),"")</f>
        <v>B144</v>
      </c>
      <c r="H136" s="10" t="str">
        <f>IF(tblLedger[[#This Row],[BankId]]&lt;&gt;"","Matched",IF(tblLedger[[#This Row],[Amount]]&gt;0,"Deposit in transit","Outstanding payment"))</f>
        <v>Matched</v>
      </c>
      <c r="I136" s="10" t="str">
        <f>IF(tblLedger[[#This Row],[Status]]="Matched","",IF(tblLedger[[#This Row],[Status]]="Deposit in transit","Check it is credited on the January statement","Check it is debited on the January statement"))</f>
        <v/>
      </c>
      <c r="J136" s="10" t="str">
        <f>IF(tblLedger[[#This Row],[Status]]="Matched","",COUNTIF(tblBank[Status],"&lt;&gt;Matched")+COUNTIF(INDEX(tblLedger[Status],1):tblLedger[[#This Row],[Status]],"&lt;&gt;Matched"))</f>
        <v/>
      </c>
    </row>
    <row r="137" spans="1:10" x14ac:dyDescent="0.25">
      <c r="A137" s="10" t="s">
        <v>453</v>
      </c>
      <c r="B137" s="6">
        <v>46009</v>
      </c>
      <c r="C137" s="10" t="s">
        <v>454</v>
      </c>
      <c r="D137" s="10" t="s">
        <v>455</v>
      </c>
      <c r="E137" s="11">
        <v>45.65</v>
      </c>
      <c r="F137" s="10" t="b">
        <f>COUNTIF(tblBank[Reference],tblLedger[[#This Row],[Reference]])&gt;0</f>
        <v>1</v>
      </c>
      <c r="G137" s="10" t="str">
        <f>IFERROR(INDEX(tblBank[BankId],MATCH(tblLedger[[#This Row],[Entry]],tblBank[MatchedEntry],0)),"")</f>
        <v>B137</v>
      </c>
      <c r="H137" s="10" t="str">
        <f>IF(tblLedger[[#This Row],[BankId]]&lt;&gt;"","Matched",IF(tblLedger[[#This Row],[Amount]]&gt;0,"Deposit in transit","Outstanding payment"))</f>
        <v>Matched</v>
      </c>
      <c r="I137" s="10" t="str">
        <f>IF(tblLedger[[#This Row],[Status]]="Matched","",IF(tblLedger[[#This Row],[Status]]="Deposit in transit","Check it is credited on the January statement","Check it is debited on the January statement"))</f>
        <v/>
      </c>
      <c r="J137" s="10" t="str">
        <f>IF(tblLedger[[#This Row],[Status]]="Matched","",COUNTIF(tblBank[Status],"&lt;&gt;Matched")+COUNTIF(INDEX(tblLedger[Status],1):tblLedger[[#This Row],[Status]],"&lt;&gt;Matched"))</f>
        <v/>
      </c>
    </row>
    <row r="138" spans="1:10" x14ac:dyDescent="0.25">
      <c r="A138" s="10" t="s">
        <v>456</v>
      </c>
      <c r="B138" s="6">
        <v>46009</v>
      </c>
      <c r="C138" s="10" t="s">
        <v>457</v>
      </c>
      <c r="D138" s="10" t="s">
        <v>458</v>
      </c>
      <c r="E138" s="11">
        <v>1116.46</v>
      </c>
      <c r="F138" s="10" t="b">
        <f>COUNTIF(tblBank[Reference],tblLedger[[#This Row],[Reference]])&gt;0</f>
        <v>1</v>
      </c>
      <c r="G138" s="10" t="str">
        <f>IFERROR(INDEX(tblBank[BankId],MATCH(tblLedger[[#This Row],[Entry]],tblBank[MatchedEntry],0)),"")</f>
        <v>B138</v>
      </c>
      <c r="H138" s="10" t="str">
        <f>IF(tblLedger[[#This Row],[BankId]]&lt;&gt;"","Matched",IF(tblLedger[[#This Row],[Amount]]&gt;0,"Deposit in transit","Outstanding payment"))</f>
        <v>Matched</v>
      </c>
      <c r="I138" s="10" t="str">
        <f>IF(tblLedger[[#This Row],[Status]]="Matched","",IF(tblLedger[[#This Row],[Status]]="Deposit in transit","Check it is credited on the January statement","Check it is debited on the January statement"))</f>
        <v/>
      </c>
      <c r="J138" s="10" t="str">
        <f>IF(tblLedger[[#This Row],[Status]]="Matched","",COUNTIF(tblBank[Status],"&lt;&gt;Matched")+COUNTIF(INDEX(tblLedger[Status],1):tblLedger[[#This Row],[Status]],"&lt;&gt;Matched"))</f>
        <v/>
      </c>
    </row>
    <row r="139" spans="1:10" x14ac:dyDescent="0.25">
      <c r="A139" s="10" t="s">
        <v>459</v>
      </c>
      <c r="B139" s="6">
        <v>46009</v>
      </c>
      <c r="C139" s="10" t="s">
        <v>460</v>
      </c>
      <c r="D139" s="10" t="s">
        <v>461</v>
      </c>
      <c r="E139" s="11">
        <v>461.32</v>
      </c>
      <c r="F139" s="10" t="b">
        <f>COUNTIF(tblBank[Reference],tblLedger[[#This Row],[Reference]])&gt;0</f>
        <v>1</v>
      </c>
      <c r="G139" s="10" t="str">
        <f>IFERROR(INDEX(tblBank[BankId],MATCH(tblLedger[[#This Row],[Entry]],tblBank[MatchedEntry],0)),"")</f>
        <v>B139</v>
      </c>
      <c r="H139" s="10" t="str">
        <f>IF(tblLedger[[#This Row],[BankId]]&lt;&gt;"","Matched",IF(tblLedger[[#This Row],[Amount]]&gt;0,"Deposit in transit","Outstanding payment"))</f>
        <v>Matched</v>
      </c>
      <c r="I139" s="10" t="str">
        <f>IF(tblLedger[[#This Row],[Status]]="Matched","",IF(tblLedger[[#This Row],[Status]]="Deposit in transit","Check it is credited on the January statement","Check it is debited on the January statement"))</f>
        <v/>
      </c>
      <c r="J139" s="10" t="str">
        <f>IF(tblLedger[[#This Row],[Status]]="Matched","",COUNTIF(tblBank[Status],"&lt;&gt;Matched")+COUNTIF(INDEX(tblLedger[Status],1):tblLedger[[#This Row],[Status]],"&lt;&gt;Matched"))</f>
        <v/>
      </c>
    </row>
    <row r="140" spans="1:10" x14ac:dyDescent="0.25">
      <c r="A140" s="10" t="s">
        <v>462</v>
      </c>
      <c r="B140" s="6">
        <v>46009</v>
      </c>
      <c r="C140" s="10" t="s">
        <v>463</v>
      </c>
      <c r="D140" s="10" t="s">
        <v>464</v>
      </c>
      <c r="E140" s="11">
        <v>640.87</v>
      </c>
      <c r="F140" s="10" t="b">
        <f>COUNTIF(tblBank[Reference],tblLedger[[#This Row],[Reference]])&gt;0</f>
        <v>1</v>
      </c>
      <c r="G140" s="10" t="str">
        <f>IFERROR(INDEX(tblBank[BankId],MATCH(tblLedger[[#This Row],[Entry]],tblBank[MatchedEntry],0)),"")</f>
        <v>B142</v>
      </c>
      <c r="H140" s="10" t="str">
        <f>IF(tblLedger[[#This Row],[BankId]]&lt;&gt;"","Matched",IF(tblLedger[[#This Row],[Amount]]&gt;0,"Deposit in transit","Outstanding payment"))</f>
        <v>Matched</v>
      </c>
      <c r="I140" s="10" t="str">
        <f>IF(tblLedger[[#This Row],[Status]]="Matched","",IF(tblLedger[[#This Row],[Status]]="Deposit in transit","Check it is credited on the January statement","Check it is debited on the January statement"))</f>
        <v/>
      </c>
      <c r="J140" s="10" t="str">
        <f>IF(tblLedger[[#This Row],[Status]]="Matched","",COUNTIF(tblBank[Status],"&lt;&gt;Matched")+COUNTIF(INDEX(tblLedger[Status],1):tblLedger[[#This Row],[Status]],"&lt;&gt;Matched"))</f>
        <v/>
      </c>
    </row>
    <row r="141" spans="1:10" x14ac:dyDescent="0.25">
      <c r="A141" s="10" t="s">
        <v>465</v>
      </c>
      <c r="B141" s="6">
        <v>46009</v>
      </c>
      <c r="C141" s="10" t="s">
        <v>466</v>
      </c>
      <c r="D141" s="10" t="s">
        <v>467</v>
      </c>
      <c r="E141" s="11">
        <v>444.49</v>
      </c>
      <c r="F141" s="10" t="b">
        <f>COUNTIF(tblBank[Reference],tblLedger[[#This Row],[Reference]])&gt;0</f>
        <v>1</v>
      </c>
      <c r="G141" s="10" t="str">
        <f>IFERROR(INDEX(tblBank[BankId],MATCH(tblLedger[[#This Row],[Entry]],tblBank[MatchedEntry],0)),"")</f>
        <v>B141</v>
      </c>
      <c r="H141" s="10" t="str">
        <f>IF(tblLedger[[#This Row],[BankId]]&lt;&gt;"","Matched",IF(tblLedger[[#This Row],[Amount]]&gt;0,"Deposit in transit","Outstanding payment"))</f>
        <v>Matched</v>
      </c>
      <c r="I141" s="10" t="str">
        <f>IF(tblLedger[[#This Row],[Status]]="Matched","",IF(tblLedger[[#This Row],[Status]]="Deposit in transit","Check it is credited on the January statement","Check it is debited on the January statement"))</f>
        <v/>
      </c>
      <c r="J141" s="10" t="str">
        <f>IF(tblLedger[[#This Row],[Status]]="Matched","",COUNTIF(tblBank[Status],"&lt;&gt;Matched")+COUNTIF(INDEX(tblLedger[Status],1):tblLedger[[#This Row],[Status]],"&lt;&gt;Matched"))</f>
        <v/>
      </c>
    </row>
    <row r="142" spans="1:10" x14ac:dyDescent="0.25">
      <c r="A142" s="10" t="s">
        <v>468</v>
      </c>
      <c r="B142" s="6">
        <v>46010</v>
      </c>
      <c r="C142" s="10" t="s">
        <v>469</v>
      </c>
      <c r="D142" s="10" t="s">
        <v>470</v>
      </c>
      <c r="E142" s="11">
        <v>-9573.08</v>
      </c>
      <c r="F142" s="10" t="b">
        <f>COUNTIF(tblBank[Reference],tblLedger[[#This Row],[Reference]])&gt;0</f>
        <v>1</v>
      </c>
      <c r="G142" s="10" t="str">
        <f>IFERROR(INDEX(tblBank[BankId],MATCH(tblLedger[[#This Row],[Entry]],tblBank[MatchedEntry],0)),"")</f>
        <v>B174</v>
      </c>
      <c r="H142" s="10" t="str">
        <f>IF(tblLedger[[#This Row],[BankId]]&lt;&gt;"","Matched",IF(tblLedger[[#This Row],[Amount]]&gt;0,"Deposit in transit","Outstanding payment"))</f>
        <v>Matched</v>
      </c>
      <c r="I142" s="10" t="str">
        <f>IF(tblLedger[[#This Row],[Status]]="Matched","",IF(tblLedger[[#This Row],[Status]]="Deposit in transit","Check it is credited on the January statement","Check it is debited on the January statement"))</f>
        <v/>
      </c>
      <c r="J142" s="10" t="str">
        <f>IF(tblLedger[[#This Row],[Status]]="Matched","",COUNTIF(tblBank[Status],"&lt;&gt;Matched")+COUNTIF(INDEX(tblLedger[Status],1):tblLedger[[#This Row],[Status]],"&lt;&gt;Matched"))</f>
        <v/>
      </c>
    </row>
    <row r="143" spans="1:10" x14ac:dyDescent="0.25">
      <c r="A143" s="10" t="s">
        <v>471</v>
      </c>
      <c r="B143" s="6">
        <v>46010</v>
      </c>
      <c r="C143" s="10" t="s">
        <v>472</v>
      </c>
      <c r="D143" s="10" t="s">
        <v>473</v>
      </c>
      <c r="E143" s="11">
        <v>1057.02</v>
      </c>
      <c r="F143" s="10" t="b">
        <f>COUNTIF(tblBank[Reference],tblLedger[[#This Row],[Reference]])&gt;0</f>
        <v>1</v>
      </c>
      <c r="G143" s="10" t="str">
        <f>IFERROR(INDEX(tblBank[BankId],MATCH(tblLedger[[#This Row],[Entry]],tblBank[MatchedEntry],0)),"")</f>
        <v>B145</v>
      </c>
      <c r="H143" s="10" t="str">
        <f>IF(tblLedger[[#This Row],[BankId]]&lt;&gt;"","Matched",IF(tblLedger[[#This Row],[Amount]]&gt;0,"Deposit in transit","Outstanding payment"))</f>
        <v>Matched</v>
      </c>
      <c r="I143" s="10" t="str">
        <f>IF(tblLedger[[#This Row],[Status]]="Matched","",IF(tblLedger[[#This Row],[Status]]="Deposit in transit","Check it is credited on the January statement","Check it is debited on the January statement"))</f>
        <v/>
      </c>
      <c r="J143" s="10" t="str">
        <f>IF(tblLedger[[#This Row],[Status]]="Matched","",COUNTIF(tblBank[Status],"&lt;&gt;Matched")+COUNTIF(INDEX(tblLedger[Status],1):tblLedger[[#This Row],[Status]],"&lt;&gt;Matched"))</f>
        <v/>
      </c>
    </row>
    <row r="144" spans="1:10" x14ac:dyDescent="0.25">
      <c r="A144" s="10" t="s">
        <v>474</v>
      </c>
      <c r="B144" s="6">
        <v>46010</v>
      </c>
      <c r="C144" s="10" t="s">
        <v>475</v>
      </c>
      <c r="D144" s="10" t="s">
        <v>476</v>
      </c>
      <c r="E144" s="11">
        <v>1407.65</v>
      </c>
      <c r="F144" s="10" t="b">
        <f>COUNTIF(tblBank[Reference],tblLedger[[#This Row],[Reference]])&gt;0</f>
        <v>1</v>
      </c>
      <c r="G144" s="10" t="str">
        <f>IFERROR(INDEX(tblBank[BankId],MATCH(tblLedger[[#This Row],[Entry]],tblBank[MatchedEntry],0)),"")</f>
        <v>B146</v>
      </c>
      <c r="H144" s="10" t="str">
        <f>IF(tblLedger[[#This Row],[BankId]]&lt;&gt;"","Matched",IF(tblLedger[[#This Row],[Amount]]&gt;0,"Deposit in transit","Outstanding payment"))</f>
        <v>Matched</v>
      </c>
      <c r="I144" s="10" t="str">
        <f>IF(tblLedger[[#This Row],[Status]]="Matched","",IF(tblLedger[[#This Row],[Status]]="Deposit in transit","Check it is credited on the January statement","Check it is debited on the January statement"))</f>
        <v/>
      </c>
      <c r="J144" s="10" t="str">
        <f>IF(tblLedger[[#This Row],[Status]]="Matched","",COUNTIF(tblBank[Status],"&lt;&gt;Matched")+COUNTIF(INDEX(tblLedger[Status],1):tblLedger[[#This Row],[Status]],"&lt;&gt;Matched"))</f>
        <v/>
      </c>
    </row>
    <row r="145" spans="1:10" x14ac:dyDescent="0.25">
      <c r="A145" s="10" t="s">
        <v>477</v>
      </c>
      <c r="B145" s="6">
        <v>46010</v>
      </c>
      <c r="C145" s="10" t="s">
        <v>478</v>
      </c>
      <c r="D145" s="10" t="s">
        <v>479</v>
      </c>
      <c r="E145" s="11">
        <v>546.04999999999995</v>
      </c>
      <c r="F145" s="10" t="b">
        <f>COUNTIF(tblBank[Reference],tblLedger[[#This Row],[Reference]])&gt;0</f>
        <v>1</v>
      </c>
      <c r="G145" s="10" t="str">
        <f>IFERROR(INDEX(tblBank[BankId],MATCH(tblLedger[[#This Row],[Entry]],tblBank[MatchedEntry],0)),"")</f>
        <v>B148</v>
      </c>
      <c r="H145" s="10" t="str">
        <f>IF(tblLedger[[#This Row],[BankId]]&lt;&gt;"","Matched",IF(tblLedger[[#This Row],[Amount]]&gt;0,"Deposit in transit","Outstanding payment"))</f>
        <v>Matched</v>
      </c>
      <c r="I145" s="10" t="str">
        <f>IF(tblLedger[[#This Row],[Status]]="Matched","",IF(tblLedger[[#This Row],[Status]]="Deposit in transit","Check it is credited on the January statement","Check it is debited on the January statement"))</f>
        <v/>
      </c>
      <c r="J145" s="10" t="str">
        <f>IF(tblLedger[[#This Row],[Status]]="Matched","",COUNTIF(tblBank[Status],"&lt;&gt;Matched")+COUNTIF(INDEX(tblLedger[Status],1):tblLedger[[#This Row],[Status]],"&lt;&gt;Matched"))</f>
        <v/>
      </c>
    </row>
    <row r="146" spans="1:10" x14ac:dyDescent="0.25">
      <c r="A146" s="10" t="s">
        <v>480</v>
      </c>
      <c r="B146" s="6">
        <v>46010</v>
      </c>
      <c r="C146" s="10" t="s">
        <v>481</v>
      </c>
      <c r="D146" s="10" t="s">
        <v>482</v>
      </c>
      <c r="E146" s="11">
        <v>4058.93</v>
      </c>
      <c r="F146" s="10" t="b">
        <f>COUNTIF(tblBank[Reference],tblLedger[[#This Row],[Reference]])&gt;0</f>
        <v>1</v>
      </c>
      <c r="G146" s="10" t="str">
        <f>IFERROR(INDEX(tblBank[BankId],MATCH(tblLedger[[#This Row],[Entry]],tblBank[MatchedEntry],0)),"")</f>
        <v>B151</v>
      </c>
      <c r="H146" s="10" t="str">
        <f>IF(tblLedger[[#This Row],[BankId]]&lt;&gt;"","Matched",IF(tblLedger[[#This Row],[Amount]]&gt;0,"Deposit in transit","Outstanding payment"))</f>
        <v>Matched</v>
      </c>
      <c r="I146" s="10" t="str">
        <f>IF(tblLedger[[#This Row],[Status]]="Matched","",IF(tblLedger[[#This Row],[Status]]="Deposit in transit","Check it is credited on the January statement","Check it is debited on the January statement"))</f>
        <v/>
      </c>
      <c r="J146" s="10" t="str">
        <f>IF(tblLedger[[#This Row],[Status]]="Matched","",COUNTIF(tblBank[Status],"&lt;&gt;Matched")+COUNTIF(INDEX(tblLedger[Status],1):tblLedger[[#This Row],[Status]],"&lt;&gt;Matched"))</f>
        <v/>
      </c>
    </row>
    <row r="147" spans="1:10" x14ac:dyDescent="0.25">
      <c r="A147" s="10" t="s">
        <v>483</v>
      </c>
      <c r="B147" s="6">
        <v>46010</v>
      </c>
      <c r="C147" s="10" t="s">
        <v>484</v>
      </c>
      <c r="D147" s="10" t="s">
        <v>485</v>
      </c>
      <c r="E147" s="11">
        <v>-318.62</v>
      </c>
      <c r="F147" s="10" t="b">
        <f>COUNTIF(tblBank[Reference],tblLedger[[#This Row],[Reference]])&gt;0</f>
        <v>1</v>
      </c>
      <c r="G147" s="10" t="str">
        <f>IFERROR(INDEX(tblBank[BankId],MATCH(tblLedger[[#This Row],[Entry]],tblBank[MatchedEntry],0)),"")</f>
        <v>B143</v>
      </c>
      <c r="H147" s="10" t="str">
        <f>IF(tblLedger[[#This Row],[BankId]]&lt;&gt;"","Matched",IF(tblLedger[[#This Row],[Amount]]&gt;0,"Deposit in transit","Outstanding payment"))</f>
        <v>Matched</v>
      </c>
      <c r="I147" s="10" t="str">
        <f>IF(tblLedger[[#This Row],[Status]]="Matched","",IF(tblLedger[[#This Row],[Status]]="Deposit in transit","Check it is credited on the January statement","Check it is debited on the January statement"))</f>
        <v/>
      </c>
      <c r="J147" s="10" t="str">
        <f>IF(tblLedger[[#This Row],[Status]]="Matched","",COUNTIF(tblBank[Status],"&lt;&gt;Matched")+COUNTIF(INDEX(tblLedger[Status],1):tblLedger[[#This Row],[Status]],"&lt;&gt;Matched"))</f>
        <v/>
      </c>
    </row>
    <row r="148" spans="1:10" x14ac:dyDescent="0.25">
      <c r="A148" s="10" t="s">
        <v>486</v>
      </c>
      <c r="B148" s="6">
        <v>46010</v>
      </c>
      <c r="C148" s="10" t="s">
        <v>487</v>
      </c>
      <c r="D148" s="10" t="s">
        <v>488</v>
      </c>
      <c r="E148" s="11">
        <v>7355.62</v>
      </c>
      <c r="F148" s="10" t="b">
        <f>COUNTIF(tblBank[Reference],tblLedger[[#This Row],[Reference]])&gt;0</f>
        <v>1</v>
      </c>
      <c r="G148" s="10" t="str">
        <f>IFERROR(INDEX(tblBank[BankId],MATCH(tblLedger[[#This Row],[Entry]],tblBank[MatchedEntry],0)),"")</f>
        <v>B150</v>
      </c>
      <c r="H148" s="10" t="str">
        <f>IF(tblLedger[[#This Row],[BankId]]&lt;&gt;"","Matched",IF(tblLedger[[#This Row],[Amount]]&gt;0,"Deposit in transit","Outstanding payment"))</f>
        <v>Matched</v>
      </c>
      <c r="I148" s="10" t="str">
        <f>IF(tblLedger[[#This Row],[Status]]="Matched","",IF(tblLedger[[#This Row],[Status]]="Deposit in transit","Check it is credited on the January statement","Check it is debited on the January statement"))</f>
        <v/>
      </c>
      <c r="J148" s="10" t="str">
        <f>IF(tblLedger[[#This Row],[Status]]="Matched","",COUNTIF(tblBank[Status],"&lt;&gt;Matched")+COUNTIF(INDEX(tblLedger[Status],1):tblLedger[[#This Row],[Status]],"&lt;&gt;Matched"))</f>
        <v/>
      </c>
    </row>
    <row r="149" spans="1:10" x14ac:dyDescent="0.25">
      <c r="A149" s="10" t="s">
        <v>489</v>
      </c>
      <c r="B149" s="6">
        <v>46010</v>
      </c>
      <c r="C149" s="10" t="s">
        <v>490</v>
      </c>
      <c r="D149" s="10" t="s">
        <v>491</v>
      </c>
      <c r="E149" s="11">
        <v>2342.23</v>
      </c>
      <c r="F149" s="10" t="b">
        <f>COUNTIF(tblBank[Reference],tblLedger[[#This Row],[Reference]])&gt;0</f>
        <v>0</v>
      </c>
      <c r="G149" s="10" t="str">
        <f>IFERROR(INDEX(tblBank[BankId],MATCH(tblLedger[[#This Row],[Entry]],tblBank[MatchedEntry],0)),"")</f>
        <v>B147</v>
      </c>
      <c r="H149" s="10" t="str">
        <f>IF(tblLedger[[#This Row],[BankId]]&lt;&gt;"","Matched",IF(tblLedger[[#This Row],[Amount]]&gt;0,"Deposit in transit","Outstanding payment"))</f>
        <v>Matched</v>
      </c>
      <c r="I149" s="10" t="str">
        <f>IF(tblLedger[[#This Row],[Status]]="Matched","",IF(tblLedger[[#This Row],[Status]]="Deposit in transit","Check it is credited on the January statement","Check it is debited on the January statement"))</f>
        <v/>
      </c>
      <c r="J149" s="10" t="str">
        <f>IF(tblLedger[[#This Row],[Status]]="Matched","",COUNTIF(tblBank[Status],"&lt;&gt;Matched")+COUNTIF(INDEX(tblLedger[Status],1):tblLedger[[#This Row],[Status]],"&lt;&gt;Matched"))</f>
        <v/>
      </c>
    </row>
    <row r="150" spans="1:10" x14ac:dyDescent="0.25">
      <c r="A150" s="10" t="s">
        <v>492</v>
      </c>
      <c r="B150" s="6">
        <v>46010</v>
      </c>
      <c r="C150" s="10" t="s">
        <v>493</v>
      </c>
      <c r="D150" s="10" t="s">
        <v>494</v>
      </c>
      <c r="E150" s="11">
        <v>991.91</v>
      </c>
      <c r="F150" s="10" t="b">
        <f>COUNTIF(tblBank[Reference],tblLedger[[#This Row],[Reference]])&gt;0</f>
        <v>0</v>
      </c>
      <c r="G150" s="10" t="str">
        <f>IFERROR(INDEX(tblBank[BankId],MATCH(tblLedger[[#This Row],[Entry]],tblBank[MatchedEntry],0)),"")</f>
        <v>B149</v>
      </c>
      <c r="H150" s="10" t="str">
        <f>IF(tblLedger[[#This Row],[BankId]]&lt;&gt;"","Matched",IF(tblLedger[[#This Row],[Amount]]&gt;0,"Deposit in transit","Outstanding payment"))</f>
        <v>Matched</v>
      </c>
      <c r="I150" s="10" t="str">
        <f>IF(tblLedger[[#This Row],[Status]]="Matched","",IF(tblLedger[[#This Row],[Status]]="Deposit in transit","Check it is credited on the January statement","Check it is debited on the January statement"))</f>
        <v/>
      </c>
      <c r="J150" s="10" t="str">
        <f>IF(tblLedger[[#This Row],[Status]]="Matched","",COUNTIF(tblBank[Status],"&lt;&gt;Matched")+COUNTIF(INDEX(tblLedger[Status],1):tblLedger[[#This Row],[Status]],"&lt;&gt;Matched"))</f>
        <v/>
      </c>
    </row>
    <row r="151" spans="1:10" x14ac:dyDescent="0.25">
      <c r="A151" s="10" t="s">
        <v>495</v>
      </c>
      <c r="B151" s="6">
        <v>46010</v>
      </c>
      <c r="C151" s="10" t="s">
        <v>496</v>
      </c>
      <c r="D151" s="10" t="s">
        <v>497</v>
      </c>
      <c r="E151" s="11">
        <v>2707.22</v>
      </c>
      <c r="F151" s="10" t="b">
        <f>COUNTIF(tblBank[Reference],tblLedger[[#This Row],[Reference]])&gt;0</f>
        <v>1</v>
      </c>
      <c r="G151" s="10" t="str">
        <f>IFERROR(INDEX(tblBank[BankId],MATCH(tblLedger[[#This Row],[Entry]],tblBank[MatchedEntry],0)),"")</f>
        <v>B152</v>
      </c>
      <c r="H151" s="10" t="str">
        <f>IF(tblLedger[[#This Row],[BankId]]&lt;&gt;"","Matched",IF(tblLedger[[#This Row],[Amount]]&gt;0,"Deposit in transit","Outstanding payment"))</f>
        <v>Matched</v>
      </c>
      <c r="I151" s="10" t="str">
        <f>IF(tblLedger[[#This Row],[Status]]="Matched","",IF(tblLedger[[#This Row],[Status]]="Deposit in transit","Check it is credited on the January statement","Check it is debited on the January statement"))</f>
        <v/>
      </c>
      <c r="J151" s="10" t="str">
        <f>IF(tblLedger[[#This Row],[Status]]="Matched","",COUNTIF(tblBank[Status],"&lt;&gt;Matched")+COUNTIF(INDEX(tblLedger[Status],1):tblLedger[[#This Row],[Status]],"&lt;&gt;Matched"))</f>
        <v/>
      </c>
    </row>
    <row r="152" spans="1:10" x14ac:dyDescent="0.25">
      <c r="A152" s="10" t="s">
        <v>498</v>
      </c>
      <c r="B152" s="6">
        <v>46010</v>
      </c>
      <c r="C152" s="10" t="s">
        <v>499</v>
      </c>
      <c r="D152" s="10" t="s">
        <v>500</v>
      </c>
      <c r="E152" s="11">
        <v>-5014.04</v>
      </c>
      <c r="F152" s="10" t="b">
        <f>COUNTIF(tblBank[Reference],tblLedger[[#This Row],[Reference]])&gt;0</f>
        <v>1</v>
      </c>
      <c r="G152" s="10" t="str">
        <f>IFERROR(INDEX(tblBank[BankId],MATCH(tblLedger[[#This Row],[Entry]],tblBank[MatchedEntry],0)),"")</f>
        <v>B154</v>
      </c>
      <c r="H152" s="10" t="str">
        <f>IF(tblLedger[[#This Row],[BankId]]&lt;&gt;"","Matched",IF(tblLedger[[#This Row],[Amount]]&gt;0,"Deposit in transit","Outstanding payment"))</f>
        <v>Matched</v>
      </c>
      <c r="I152" s="10" t="str">
        <f>IF(tblLedger[[#This Row],[Status]]="Matched","",IF(tblLedger[[#This Row],[Status]]="Deposit in transit","Check it is credited on the January statement","Check it is debited on the January statement"))</f>
        <v/>
      </c>
      <c r="J152" s="10" t="str">
        <f>IF(tblLedger[[#This Row],[Status]]="Matched","",COUNTIF(tblBank[Status],"&lt;&gt;Matched")+COUNTIF(INDEX(tblLedger[Status],1):tblLedger[[#This Row],[Status]],"&lt;&gt;Matched"))</f>
        <v/>
      </c>
    </row>
    <row r="153" spans="1:10" x14ac:dyDescent="0.25">
      <c r="A153" s="10" t="s">
        <v>501</v>
      </c>
      <c r="B153" s="6">
        <v>46013</v>
      </c>
      <c r="C153" s="10" t="s">
        <v>502</v>
      </c>
      <c r="D153" s="10" t="s">
        <v>503</v>
      </c>
      <c r="E153" s="11">
        <v>77.040000000000006</v>
      </c>
      <c r="F153" s="10" t="b">
        <f>COUNTIF(tblBank[Reference],tblLedger[[#This Row],[Reference]])&gt;0</f>
        <v>1</v>
      </c>
      <c r="G153" s="10" t="str">
        <f>IFERROR(INDEX(tblBank[BankId],MATCH(tblLedger[[#This Row],[Entry]],tblBank[MatchedEntry],0)),"")</f>
        <v>B158</v>
      </c>
      <c r="H153" s="10" t="str">
        <f>IF(tblLedger[[#This Row],[BankId]]&lt;&gt;"","Matched",IF(tblLedger[[#This Row],[Amount]]&gt;0,"Deposit in transit","Outstanding payment"))</f>
        <v>Matched</v>
      </c>
      <c r="I153" s="10" t="str">
        <f>IF(tblLedger[[#This Row],[Status]]="Matched","",IF(tblLedger[[#This Row],[Status]]="Deposit in transit","Check it is credited on the January statement","Check it is debited on the January statement"))</f>
        <v/>
      </c>
      <c r="J153" s="10" t="str">
        <f>IF(tblLedger[[#This Row],[Status]]="Matched","",COUNTIF(tblBank[Status],"&lt;&gt;Matched")+COUNTIF(INDEX(tblLedger[Status],1):tblLedger[[#This Row],[Status]],"&lt;&gt;Matched"))</f>
        <v/>
      </c>
    </row>
    <row r="154" spans="1:10" x14ac:dyDescent="0.25">
      <c r="A154" s="10" t="s">
        <v>504</v>
      </c>
      <c r="B154" s="6">
        <v>46013</v>
      </c>
      <c r="C154" s="10" t="s">
        <v>505</v>
      </c>
      <c r="D154" s="10" t="s">
        <v>506</v>
      </c>
      <c r="E154" s="11">
        <v>2190.6799999999998</v>
      </c>
      <c r="F154" s="10" t="b">
        <f>COUNTIF(tblBank[Reference],tblLedger[[#This Row],[Reference]])&gt;0</f>
        <v>1</v>
      </c>
      <c r="G154" s="10" t="str">
        <f>IFERROR(INDEX(tblBank[BankId],MATCH(tblLedger[[#This Row],[Entry]],tblBank[MatchedEntry],0)),"")</f>
        <v>B170</v>
      </c>
      <c r="H154" s="10" t="str">
        <f>IF(tblLedger[[#This Row],[BankId]]&lt;&gt;"","Matched",IF(tblLedger[[#This Row],[Amount]]&gt;0,"Deposit in transit","Outstanding payment"))</f>
        <v>Matched</v>
      </c>
      <c r="I154" s="10" t="str">
        <f>IF(tblLedger[[#This Row],[Status]]="Matched","",IF(tblLedger[[#This Row],[Status]]="Deposit in transit","Check it is credited on the January statement","Check it is debited on the January statement"))</f>
        <v/>
      </c>
      <c r="J154" s="10" t="str">
        <f>IF(tblLedger[[#This Row],[Status]]="Matched","",COUNTIF(tblBank[Status],"&lt;&gt;Matched")+COUNTIF(INDEX(tblLedger[Status],1):tblLedger[[#This Row],[Status]],"&lt;&gt;Matched"))</f>
        <v/>
      </c>
    </row>
    <row r="155" spans="1:10" x14ac:dyDescent="0.25">
      <c r="A155" s="10" t="s">
        <v>507</v>
      </c>
      <c r="B155" s="6">
        <v>46013</v>
      </c>
      <c r="C155" s="10" t="s">
        <v>508</v>
      </c>
      <c r="D155" s="10" t="s">
        <v>509</v>
      </c>
      <c r="E155" s="11">
        <v>1266.7</v>
      </c>
      <c r="F155" s="10" t="b">
        <f>COUNTIF(tblBank[Reference],tblLedger[[#This Row],[Reference]])&gt;0</f>
        <v>1</v>
      </c>
      <c r="G155" s="10" t="str">
        <f>IFERROR(INDEX(tblBank[BankId],MATCH(tblLedger[[#This Row],[Entry]],tblBank[MatchedEntry],0)),"")</f>
        <v>B171</v>
      </c>
      <c r="H155" s="10" t="str">
        <f>IF(tblLedger[[#This Row],[BankId]]&lt;&gt;"","Matched",IF(tblLedger[[#This Row],[Amount]]&gt;0,"Deposit in transit","Outstanding payment"))</f>
        <v>Matched</v>
      </c>
      <c r="I155" s="10" t="str">
        <f>IF(tblLedger[[#This Row],[Status]]="Matched","",IF(tblLedger[[#This Row],[Status]]="Deposit in transit","Check it is credited on the January statement","Check it is debited on the January statement"))</f>
        <v/>
      </c>
      <c r="J155" s="10" t="str">
        <f>IF(tblLedger[[#This Row],[Status]]="Matched","",COUNTIF(tblBank[Status],"&lt;&gt;Matched")+COUNTIF(INDEX(tblLedger[Status],1):tblLedger[[#This Row],[Status]],"&lt;&gt;Matched"))</f>
        <v/>
      </c>
    </row>
    <row r="156" spans="1:10" x14ac:dyDescent="0.25">
      <c r="A156" s="10" t="s">
        <v>510</v>
      </c>
      <c r="B156" s="6">
        <v>46013</v>
      </c>
      <c r="C156" s="10" t="s">
        <v>511</v>
      </c>
      <c r="D156" s="10" t="s">
        <v>512</v>
      </c>
      <c r="E156" s="11">
        <v>751.92</v>
      </c>
      <c r="F156" s="10" t="b">
        <f>COUNTIF(tblBank[Reference],tblLedger[[#This Row],[Reference]])&gt;0</f>
        <v>1</v>
      </c>
      <c r="G156" s="10" t="str">
        <f>IFERROR(INDEX(tblBank[BankId],MATCH(tblLedger[[#This Row],[Entry]],tblBank[MatchedEntry],0)),"")</f>
        <v>B169</v>
      </c>
      <c r="H156" s="10" t="str">
        <f>IF(tblLedger[[#This Row],[BankId]]&lt;&gt;"","Matched",IF(tblLedger[[#This Row],[Amount]]&gt;0,"Deposit in transit","Outstanding payment"))</f>
        <v>Matched</v>
      </c>
      <c r="I156" s="10" t="str">
        <f>IF(tblLedger[[#This Row],[Status]]="Matched","",IF(tblLedger[[#This Row],[Status]]="Deposit in transit","Check it is credited on the January statement","Check it is debited on the January statement"))</f>
        <v/>
      </c>
      <c r="J156" s="10" t="str">
        <f>IF(tblLedger[[#This Row],[Status]]="Matched","",COUNTIF(tblBank[Status],"&lt;&gt;Matched")+COUNTIF(INDEX(tblLedger[Status],1):tblLedger[[#This Row],[Status]],"&lt;&gt;Matched"))</f>
        <v/>
      </c>
    </row>
    <row r="157" spans="1:10" x14ac:dyDescent="0.25">
      <c r="A157" s="10" t="s">
        <v>513</v>
      </c>
      <c r="B157" s="6">
        <v>46013</v>
      </c>
      <c r="C157" s="10" t="s">
        <v>514</v>
      </c>
      <c r="D157" s="10" t="s">
        <v>515</v>
      </c>
      <c r="E157" s="11">
        <v>1964.82</v>
      </c>
      <c r="F157" s="10" t="b">
        <f>COUNTIF(tblBank[Reference],tblLedger[[#This Row],[Reference]])&gt;0</f>
        <v>1</v>
      </c>
      <c r="G157" s="10" t="str">
        <f>IFERROR(INDEX(tblBank[BankId],MATCH(tblLedger[[#This Row],[Entry]],tblBank[MatchedEntry],0)),"")</f>
        <v>B160</v>
      </c>
      <c r="H157" s="10" t="str">
        <f>IF(tblLedger[[#This Row],[BankId]]&lt;&gt;"","Matched",IF(tblLedger[[#This Row],[Amount]]&gt;0,"Deposit in transit","Outstanding payment"))</f>
        <v>Matched</v>
      </c>
      <c r="I157" s="10" t="str">
        <f>IF(tblLedger[[#This Row],[Status]]="Matched","",IF(tblLedger[[#This Row],[Status]]="Deposit in transit","Check it is credited on the January statement","Check it is debited on the January statement"))</f>
        <v/>
      </c>
      <c r="J157" s="10" t="str">
        <f>IF(tblLedger[[#This Row],[Status]]="Matched","",COUNTIF(tblBank[Status],"&lt;&gt;Matched")+COUNTIF(INDEX(tblLedger[Status],1):tblLedger[[#This Row],[Status]],"&lt;&gt;Matched"))</f>
        <v/>
      </c>
    </row>
    <row r="158" spans="1:10" x14ac:dyDescent="0.25">
      <c r="A158" s="10" t="s">
        <v>516</v>
      </c>
      <c r="B158" s="6">
        <v>46013</v>
      </c>
      <c r="C158" s="10" t="s">
        <v>517</v>
      </c>
      <c r="D158" s="10" t="s">
        <v>518</v>
      </c>
      <c r="E158" s="11">
        <v>1121.32</v>
      </c>
      <c r="F158" s="10" t="b">
        <f>COUNTIF(tblBank[Reference],tblLedger[[#This Row],[Reference]])&gt;0</f>
        <v>1</v>
      </c>
      <c r="G158" s="10" t="str">
        <f>IFERROR(INDEX(tblBank[BankId],MATCH(tblLedger[[#This Row],[Entry]],tblBank[MatchedEntry],0)),"")</f>
        <v>B172</v>
      </c>
      <c r="H158" s="10" t="str">
        <f>IF(tblLedger[[#This Row],[BankId]]&lt;&gt;"","Matched",IF(tblLedger[[#This Row],[Amount]]&gt;0,"Deposit in transit","Outstanding payment"))</f>
        <v>Matched</v>
      </c>
      <c r="I158" s="10" t="str">
        <f>IF(tblLedger[[#This Row],[Status]]="Matched","",IF(tblLedger[[#This Row],[Status]]="Deposit in transit","Check it is credited on the January statement","Check it is debited on the January statement"))</f>
        <v/>
      </c>
      <c r="J158" s="10" t="str">
        <f>IF(tblLedger[[#This Row],[Status]]="Matched","",COUNTIF(tblBank[Status],"&lt;&gt;Matched")+COUNTIF(INDEX(tblLedger[Status],1):tblLedger[[#This Row],[Status]],"&lt;&gt;Matched"))</f>
        <v/>
      </c>
    </row>
    <row r="159" spans="1:10" x14ac:dyDescent="0.25">
      <c r="A159" s="10" t="s">
        <v>519</v>
      </c>
      <c r="B159" s="6">
        <v>46013</v>
      </c>
      <c r="C159" s="10" t="s">
        <v>520</v>
      </c>
      <c r="D159" s="10" t="s">
        <v>521</v>
      </c>
      <c r="E159" s="11">
        <v>-1731.72</v>
      </c>
      <c r="F159" s="10" t="b">
        <f>COUNTIF(tblBank[Reference],tblLedger[[#This Row],[Reference]])&gt;0</f>
        <v>0</v>
      </c>
      <c r="G159" s="10" t="str">
        <f>IFERROR(INDEX(tblBank[BankId],MATCH(tblLedger[[#This Row],[Entry]],tblBank[MatchedEntry],0)),"")</f>
        <v>B176</v>
      </c>
      <c r="H159" s="10" t="str">
        <f>IF(tblLedger[[#This Row],[BankId]]&lt;&gt;"","Matched",IF(tblLedger[[#This Row],[Amount]]&gt;0,"Deposit in transit","Outstanding payment"))</f>
        <v>Matched</v>
      </c>
      <c r="I159" s="10" t="str">
        <f>IF(tblLedger[[#This Row],[Status]]="Matched","",IF(tblLedger[[#This Row],[Status]]="Deposit in transit","Check it is credited on the January statement","Check it is debited on the January statement"))</f>
        <v/>
      </c>
      <c r="J159" s="10" t="str">
        <f>IF(tblLedger[[#This Row],[Status]]="Matched","",COUNTIF(tblBank[Status],"&lt;&gt;Matched")+COUNTIF(INDEX(tblLedger[Status],1):tblLedger[[#This Row],[Status]],"&lt;&gt;Matched"))</f>
        <v/>
      </c>
    </row>
    <row r="160" spans="1:10" x14ac:dyDescent="0.25">
      <c r="A160" s="10" t="s">
        <v>522</v>
      </c>
      <c r="B160" s="6">
        <v>46013</v>
      </c>
      <c r="C160" s="10" t="s">
        <v>523</v>
      </c>
      <c r="D160" s="10" t="s">
        <v>524</v>
      </c>
      <c r="E160" s="11">
        <v>1100.48</v>
      </c>
      <c r="F160" s="10" t="b">
        <f>COUNTIF(tblBank[Reference],tblLedger[[#This Row],[Reference]])&gt;0</f>
        <v>1</v>
      </c>
      <c r="G160" s="10" t="str">
        <f>IFERROR(INDEX(tblBank[BankId],MATCH(tblLedger[[#This Row],[Entry]],tblBank[MatchedEntry],0)),"")</f>
        <v>B168</v>
      </c>
      <c r="H160" s="10" t="str">
        <f>IF(tblLedger[[#This Row],[BankId]]&lt;&gt;"","Matched",IF(tblLedger[[#This Row],[Amount]]&gt;0,"Deposit in transit","Outstanding payment"))</f>
        <v>Matched</v>
      </c>
      <c r="I160" s="10" t="str">
        <f>IF(tblLedger[[#This Row],[Status]]="Matched","",IF(tblLedger[[#This Row],[Status]]="Deposit in transit","Check it is credited on the January statement","Check it is debited on the January statement"))</f>
        <v/>
      </c>
      <c r="J160" s="10" t="str">
        <f>IF(tblLedger[[#This Row],[Status]]="Matched","",COUNTIF(tblBank[Status],"&lt;&gt;Matched")+COUNTIF(INDEX(tblLedger[Status],1):tblLedger[[#This Row],[Status]],"&lt;&gt;Matched"))</f>
        <v/>
      </c>
    </row>
    <row r="161" spans="1:10" x14ac:dyDescent="0.25">
      <c r="A161" s="10" t="s">
        <v>525</v>
      </c>
      <c r="B161" s="6">
        <v>46013</v>
      </c>
      <c r="C161" s="10" t="s">
        <v>526</v>
      </c>
      <c r="D161" s="10" t="s">
        <v>527</v>
      </c>
      <c r="E161" s="11">
        <v>422.63</v>
      </c>
      <c r="F161" s="10" t="b">
        <f>COUNTIF(tblBank[Reference],tblLedger[[#This Row],[Reference]])&gt;0</f>
        <v>0</v>
      </c>
      <c r="G161" s="10" t="str">
        <f>IFERROR(INDEX(tblBank[BankId],MATCH(tblLedger[[#This Row],[Entry]],tblBank[MatchedEntry],0)),"")</f>
        <v>B173</v>
      </c>
      <c r="H161" s="10" t="str">
        <f>IF(tblLedger[[#This Row],[BankId]]&lt;&gt;"","Matched",IF(tblLedger[[#This Row],[Amount]]&gt;0,"Deposit in transit","Outstanding payment"))</f>
        <v>Matched</v>
      </c>
      <c r="I161" s="10" t="str">
        <f>IF(tblLedger[[#This Row],[Status]]="Matched","",IF(tblLedger[[#This Row],[Status]]="Deposit in transit","Check it is credited on the January statement","Check it is debited on the January statement"))</f>
        <v/>
      </c>
      <c r="J161" s="10" t="str">
        <f>IF(tblLedger[[#This Row],[Status]]="Matched","",COUNTIF(tblBank[Status],"&lt;&gt;Matched")+COUNTIF(INDEX(tblLedger[Status],1):tblLedger[[#This Row],[Status]],"&lt;&gt;Matched"))</f>
        <v/>
      </c>
    </row>
    <row r="162" spans="1:10" x14ac:dyDescent="0.25">
      <c r="A162" s="10" t="s">
        <v>528</v>
      </c>
      <c r="B162" s="6">
        <v>46013</v>
      </c>
      <c r="C162" s="10" t="s">
        <v>529</v>
      </c>
      <c r="D162" s="10" t="s">
        <v>530</v>
      </c>
      <c r="E162" s="11">
        <v>7828.73</v>
      </c>
      <c r="F162" s="10" t="b">
        <f>COUNTIF(tblBank[Reference],tblLedger[[#This Row],[Reference]])&gt;0</f>
        <v>1</v>
      </c>
      <c r="G162" s="10" t="str">
        <f>IFERROR(INDEX(tblBank[BankId],MATCH(tblLedger[[#This Row],[Entry]],tblBank[MatchedEntry],0)),"")</f>
        <v>B165</v>
      </c>
      <c r="H162" s="10" t="str">
        <f>IF(tblLedger[[#This Row],[BankId]]&lt;&gt;"","Matched",IF(tblLedger[[#This Row],[Amount]]&gt;0,"Deposit in transit","Outstanding payment"))</f>
        <v>Matched</v>
      </c>
      <c r="I162" s="10" t="str">
        <f>IF(tblLedger[[#This Row],[Status]]="Matched","",IF(tblLedger[[#This Row],[Status]]="Deposit in transit","Check it is credited on the January statement","Check it is debited on the January statement"))</f>
        <v/>
      </c>
      <c r="J162" s="10" t="str">
        <f>IF(tblLedger[[#This Row],[Status]]="Matched","",COUNTIF(tblBank[Status],"&lt;&gt;Matched")+COUNTIF(INDEX(tblLedger[Status],1):tblLedger[[#This Row],[Status]],"&lt;&gt;Matched"))</f>
        <v/>
      </c>
    </row>
    <row r="163" spans="1:10" x14ac:dyDescent="0.25">
      <c r="A163" s="10" t="s">
        <v>531</v>
      </c>
      <c r="B163" s="6">
        <v>46013</v>
      </c>
      <c r="C163" s="10" t="s">
        <v>532</v>
      </c>
      <c r="D163" s="10" t="s">
        <v>533</v>
      </c>
      <c r="E163" s="11">
        <v>13353.96</v>
      </c>
      <c r="F163" s="10" t="b">
        <f>COUNTIF(tblBank[Reference],tblLedger[[#This Row],[Reference]])&gt;0</f>
        <v>1</v>
      </c>
      <c r="G163" s="10" t="str">
        <f>IFERROR(INDEX(tblBank[BankId],MATCH(tblLedger[[#This Row],[Entry]],tblBank[MatchedEntry],0)),"")</f>
        <v>B159</v>
      </c>
      <c r="H163" s="10" t="str">
        <f>IF(tblLedger[[#This Row],[BankId]]&lt;&gt;"","Matched",IF(tblLedger[[#This Row],[Amount]]&gt;0,"Deposit in transit","Outstanding payment"))</f>
        <v>Matched</v>
      </c>
      <c r="I163" s="10" t="str">
        <f>IF(tblLedger[[#This Row],[Status]]="Matched","",IF(tblLedger[[#This Row],[Status]]="Deposit in transit","Check it is credited on the January statement","Check it is debited on the January statement"))</f>
        <v/>
      </c>
      <c r="J163" s="10" t="str">
        <f>IF(tblLedger[[#This Row],[Status]]="Matched","",COUNTIF(tblBank[Status],"&lt;&gt;Matched")+COUNTIF(INDEX(tblLedger[Status],1):tblLedger[[#This Row],[Status]],"&lt;&gt;Matched"))</f>
        <v/>
      </c>
    </row>
    <row r="164" spans="1:10" x14ac:dyDescent="0.25">
      <c r="A164" s="10" t="s">
        <v>534</v>
      </c>
      <c r="B164" s="6">
        <v>46013</v>
      </c>
      <c r="C164" s="10" t="s">
        <v>535</v>
      </c>
      <c r="D164" s="10" t="s">
        <v>536</v>
      </c>
      <c r="E164" s="11">
        <v>519.08000000000004</v>
      </c>
      <c r="F164" s="10" t="b">
        <f>COUNTIF(tblBank[Reference],tblLedger[[#This Row],[Reference]])&gt;0</f>
        <v>1</v>
      </c>
      <c r="G164" s="10" t="str">
        <f>IFERROR(INDEX(tblBank[BankId],MATCH(tblLedger[[#This Row],[Entry]],tblBank[MatchedEntry],0)),"")</f>
        <v>B166</v>
      </c>
      <c r="H164" s="10" t="str">
        <f>IF(tblLedger[[#This Row],[BankId]]&lt;&gt;"","Matched",IF(tblLedger[[#This Row],[Amount]]&gt;0,"Deposit in transit","Outstanding payment"))</f>
        <v>Matched</v>
      </c>
      <c r="I164" s="10" t="str">
        <f>IF(tblLedger[[#This Row],[Status]]="Matched","",IF(tblLedger[[#This Row],[Status]]="Deposit in transit","Check it is credited on the January statement","Check it is debited on the January statement"))</f>
        <v/>
      </c>
      <c r="J164" s="10" t="str">
        <f>IF(tblLedger[[#This Row],[Status]]="Matched","",COUNTIF(tblBank[Status],"&lt;&gt;Matched")+COUNTIF(INDEX(tblLedger[Status],1):tblLedger[[#This Row],[Status]],"&lt;&gt;Matched"))</f>
        <v/>
      </c>
    </row>
    <row r="165" spans="1:10" x14ac:dyDescent="0.25">
      <c r="A165" s="10" t="s">
        <v>537</v>
      </c>
      <c r="B165" s="6">
        <v>46013</v>
      </c>
      <c r="C165" s="10" t="s">
        <v>538</v>
      </c>
      <c r="D165" s="10" t="s">
        <v>539</v>
      </c>
      <c r="E165" s="11">
        <v>5212.6099999999997</v>
      </c>
      <c r="F165" s="10" t="b">
        <f>COUNTIF(tblBank[Reference],tblLedger[[#This Row],[Reference]])&gt;0</f>
        <v>1</v>
      </c>
      <c r="G165" s="10" t="str">
        <f>IFERROR(INDEX(tblBank[BankId],MATCH(tblLedger[[#This Row],[Entry]],tblBank[MatchedEntry],0)),"")</f>
        <v>B162</v>
      </c>
      <c r="H165" s="10" t="str">
        <f>IF(tblLedger[[#This Row],[BankId]]&lt;&gt;"","Matched",IF(tblLedger[[#This Row],[Amount]]&gt;0,"Deposit in transit","Outstanding payment"))</f>
        <v>Matched</v>
      </c>
      <c r="I165" s="10" t="str">
        <f>IF(tblLedger[[#This Row],[Status]]="Matched","",IF(tblLedger[[#This Row],[Status]]="Deposit in transit","Check it is credited on the January statement","Check it is debited on the January statement"))</f>
        <v/>
      </c>
      <c r="J165" s="10" t="str">
        <f>IF(tblLedger[[#This Row],[Status]]="Matched","",COUNTIF(tblBank[Status],"&lt;&gt;Matched")+COUNTIF(INDEX(tblLedger[Status],1):tblLedger[[#This Row],[Status]],"&lt;&gt;Matched"))</f>
        <v/>
      </c>
    </row>
    <row r="166" spans="1:10" x14ac:dyDescent="0.25">
      <c r="A166" s="10" t="s">
        <v>540</v>
      </c>
      <c r="B166" s="6">
        <v>46013</v>
      </c>
      <c r="C166" s="10" t="s">
        <v>541</v>
      </c>
      <c r="D166" s="10" t="s">
        <v>542</v>
      </c>
      <c r="E166" s="11">
        <v>14404.37</v>
      </c>
      <c r="F166" s="10" t="b">
        <f>COUNTIF(tblBank[Reference],tblLedger[[#This Row],[Reference]])&gt;0</f>
        <v>1</v>
      </c>
      <c r="G166" s="10" t="str">
        <f>IFERROR(INDEX(tblBank[BankId],MATCH(tblLedger[[#This Row],[Entry]],tblBank[MatchedEntry],0)),"")</f>
        <v>B157</v>
      </c>
      <c r="H166" s="10" t="str">
        <f>IF(tblLedger[[#This Row],[BankId]]&lt;&gt;"","Matched",IF(tblLedger[[#This Row],[Amount]]&gt;0,"Deposit in transit","Outstanding payment"))</f>
        <v>Matched</v>
      </c>
      <c r="I166" s="10" t="str">
        <f>IF(tblLedger[[#This Row],[Status]]="Matched","",IF(tblLedger[[#This Row],[Status]]="Deposit in transit","Check it is credited on the January statement","Check it is debited on the January statement"))</f>
        <v/>
      </c>
      <c r="J166" s="10" t="str">
        <f>IF(tblLedger[[#This Row],[Status]]="Matched","",COUNTIF(tblBank[Status],"&lt;&gt;Matched")+COUNTIF(INDEX(tblLedger[Status],1):tblLedger[[#This Row],[Status]],"&lt;&gt;Matched"))</f>
        <v/>
      </c>
    </row>
    <row r="167" spans="1:10" x14ac:dyDescent="0.25">
      <c r="A167" s="10" t="s">
        <v>543</v>
      </c>
      <c r="B167" s="6">
        <v>46013</v>
      </c>
      <c r="C167" s="10" t="s">
        <v>544</v>
      </c>
      <c r="D167" s="10" t="s">
        <v>545</v>
      </c>
      <c r="E167" s="11">
        <v>4941.66</v>
      </c>
      <c r="F167" s="10" t="b">
        <f>COUNTIF(tblBank[Reference],tblLedger[[#This Row],[Reference]])&gt;0</f>
        <v>1</v>
      </c>
      <c r="G167" s="10" t="str">
        <f>IFERROR(INDEX(tblBank[BankId],MATCH(tblLedger[[#This Row],[Entry]],tblBank[MatchedEntry],0)),"")</f>
        <v>B161</v>
      </c>
      <c r="H167" s="10" t="str">
        <f>IF(tblLedger[[#This Row],[BankId]]&lt;&gt;"","Matched",IF(tblLedger[[#This Row],[Amount]]&gt;0,"Deposit in transit","Outstanding payment"))</f>
        <v>Matched</v>
      </c>
      <c r="I167" s="10" t="str">
        <f>IF(tblLedger[[#This Row],[Status]]="Matched","",IF(tblLedger[[#This Row],[Status]]="Deposit in transit","Check it is credited on the January statement","Check it is debited on the January statement"))</f>
        <v/>
      </c>
      <c r="J167" s="10" t="str">
        <f>IF(tblLedger[[#This Row],[Status]]="Matched","",COUNTIF(tblBank[Status],"&lt;&gt;Matched")+COUNTIF(INDEX(tblLedger[Status],1):tblLedger[[#This Row],[Status]],"&lt;&gt;Matched"))</f>
        <v/>
      </c>
    </row>
    <row r="168" spans="1:10" x14ac:dyDescent="0.25">
      <c r="A168" s="10" t="s">
        <v>546</v>
      </c>
      <c r="B168" s="6">
        <v>46013</v>
      </c>
      <c r="C168" s="10" t="s">
        <v>547</v>
      </c>
      <c r="D168" s="10" t="s">
        <v>548</v>
      </c>
      <c r="E168" s="11">
        <v>168.68</v>
      </c>
      <c r="F168" s="10" t="b">
        <f>COUNTIF(tblBank[Reference],tblLedger[[#This Row],[Reference]])&gt;0</f>
        <v>1</v>
      </c>
      <c r="G168" s="10" t="str">
        <f>IFERROR(INDEX(tblBank[BankId],MATCH(tblLedger[[#This Row],[Entry]],tblBank[MatchedEntry],0)),"")</f>
        <v>B163</v>
      </c>
      <c r="H168" s="10" t="str">
        <f>IF(tblLedger[[#This Row],[BankId]]&lt;&gt;"","Matched",IF(tblLedger[[#This Row],[Amount]]&gt;0,"Deposit in transit","Outstanding payment"))</f>
        <v>Matched</v>
      </c>
      <c r="I168" s="10" t="str">
        <f>IF(tblLedger[[#This Row],[Status]]="Matched","",IF(tblLedger[[#This Row],[Status]]="Deposit in transit","Check it is credited on the January statement","Check it is debited on the January statement"))</f>
        <v/>
      </c>
      <c r="J168" s="10" t="str">
        <f>IF(tblLedger[[#This Row],[Status]]="Matched","",COUNTIF(tblBank[Status],"&lt;&gt;Matched")+COUNTIF(INDEX(tblLedger[Status],1):tblLedger[[#This Row],[Status]],"&lt;&gt;Matched"))</f>
        <v/>
      </c>
    </row>
    <row r="169" spans="1:10" x14ac:dyDescent="0.25">
      <c r="A169" s="10" t="s">
        <v>549</v>
      </c>
      <c r="B169" s="6">
        <v>46013</v>
      </c>
      <c r="C169" s="10" t="s">
        <v>550</v>
      </c>
      <c r="D169" s="10" t="s">
        <v>551</v>
      </c>
      <c r="E169" s="11">
        <v>1942.02</v>
      </c>
      <c r="F169" s="10" t="b">
        <f>COUNTIF(tblBank[Reference],tblLedger[[#This Row],[Reference]])&gt;0</f>
        <v>1</v>
      </c>
      <c r="G169" s="10" t="str">
        <f>IFERROR(INDEX(tblBank[BankId],MATCH(tblLedger[[#This Row],[Entry]],tblBank[MatchedEntry],0)),"")</f>
        <v>B164</v>
      </c>
      <c r="H169" s="10" t="str">
        <f>IF(tblLedger[[#This Row],[BankId]]&lt;&gt;"","Matched",IF(tblLedger[[#This Row],[Amount]]&gt;0,"Deposit in transit","Outstanding payment"))</f>
        <v>Matched</v>
      </c>
      <c r="I169" s="10" t="str">
        <f>IF(tblLedger[[#This Row],[Status]]="Matched","",IF(tblLedger[[#This Row],[Status]]="Deposit in transit","Check it is credited on the January statement","Check it is debited on the January statement"))</f>
        <v/>
      </c>
      <c r="J169" s="10" t="str">
        <f>IF(tblLedger[[#This Row],[Status]]="Matched","",COUNTIF(tblBank[Status],"&lt;&gt;Matched")+COUNTIF(INDEX(tblLedger[Status],1):tblLedger[[#This Row],[Status]],"&lt;&gt;Matched"))</f>
        <v/>
      </c>
    </row>
    <row r="170" spans="1:10" x14ac:dyDescent="0.25">
      <c r="A170" s="10" t="s">
        <v>552</v>
      </c>
      <c r="B170" s="6">
        <v>46013</v>
      </c>
      <c r="C170" s="10" t="s">
        <v>553</v>
      </c>
      <c r="D170" s="10" t="s">
        <v>554</v>
      </c>
      <c r="E170" s="11">
        <v>628.46</v>
      </c>
      <c r="F170" s="10" t="b">
        <f>COUNTIF(tblBank[Reference],tblLedger[[#This Row],[Reference]])&gt;0</f>
        <v>1</v>
      </c>
      <c r="G170" s="10" t="str">
        <f>IFERROR(INDEX(tblBank[BankId],MATCH(tblLedger[[#This Row],[Entry]],tblBank[MatchedEntry],0)),"")</f>
        <v>B167</v>
      </c>
      <c r="H170" s="10" t="str">
        <f>IF(tblLedger[[#This Row],[BankId]]&lt;&gt;"","Matched",IF(tblLedger[[#This Row],[Amount]]&gt;0,"Deposit in transit","Outstanding payment"))</f>
        <v>Matched</v>
      </c>
      <c r="I170" s="10" t="str">
        <f>IF(tblLedger[[#This Row],[Status]]="Matched","",IF(tblLedger[[#This Row],[Status]]="Deposit in transit","Check it is credited on the January statement","Check it is debited on the January statement"))</f>
        <v/>
      </c>
      <c r="J170" s="10" t="str">
        <f>IF(tblLedger[[#This Row],[Status]]="Matched","",COUNTIF(tblBank[Status],"&lt;&gt;Matched")+COUNTIF(INDEX(tblLedger[Status],1):tblLedger[[#This Row],[Status]],"&lt;&gt;Matched"))</f>
        <v/>
      </c>
    </row>
    <row r="171" spans="1:10" x14ac:dyDescent="0.25">
      <c r="A171" s="10" t="s">
        <v>555</v>
      </c>
      <c r="B171" s="6">
        <v>46013</v>
      </c>
      <c r="C171" s="10" t="s">
        <v>556</v>
      </c>
      <c r="D171" s="10" t="s">
        <v>557</v>
      </c>
      <c r="E171" s="11">
        <v>-2532.06</v>
      </c>
      <c r="F171" s="10" t="b">
        <f>COUNTIF(tblBank[Reference],tblLedger[[#This Row],[Reference]])&gt;0</f>
        <v>1</v>
      </c>
      <c r="G171" s="10" t="str">
        <f>IFERROR(INDEX(tblBank[BankId],MATCH(tblLedger[[#This Row],[Entry]],tblBank[MatchedEntry],0)),"")</f>
        <v>B175</v>
      </c>
      <c r="H171" s="10" t="str">
        <f>IF(tblLedger[[#This Row],[BankId]]&lt;&gt;"","Matched",IF(tblLedger[[#This Row],[Amount]]&gt;0,"Deposit in transit","Outstanding payment"))</f>
        <v>Matched</v>
      </c>
      <c r="I171" s="10" t="str">
        <f>IF(tblLedger[[#This Row],[Status]]="Matched","",IF(tblLedger[[#This Row],[Status]]="Deposit in transit","Check it is credited on the January statement","Check it is debited on the January statement"))</f>
        <v/>
      </c>
      <c r="J171" s="10" t="str">
        <f>IF(tblLedger[[#This Row],[Status]]="Matched","",COUNTIF(tblBank[Status],"&lt;&gt;Matched")+COUNTIF(INDEX(tblLedger[Status],1):tblLedger[[#This Row],[Status]],"&lt;&gt;Matched"))</f>
        <v/>
      </c>
    </row>
    <row r="172" spans="1:10" x14ac:dyDescent="0.25">
      <c r="A172" s="10" t="s">
        <v>558</v>
      </c>
      <c r="B172" s="6">
        <v>46013</v>
      </c>
      <c r="C172" s="10" t="s">
        <v>559</v>
      </c>
      <c r="D172" s="10" t="s">
        <v>560</v>
      </c>
      <c r="E172" s="11">
        <v>-797.15</v>
      </c>
      <c r="F172" s="10" t="b">
        <f>COUNTIF(tblBank[Reference],tblLedger[[#This Row],[Reference]])&gt;0</f>
        <v>1</v>
      </c>
      <c r="G172" s="10" t="str">
        <f>IFERROR(INDEX(tblBank[BankId],MATCH(tblLedger[[#This Row],[Entry]],tblBank[MatchedEntry],0)),"")</f>
        <v>B155</v>
      </c>
      <c r="H172" s="10" t="str">
        <f>IF(tblLedger[[#This Row],[BankId]]&lt;&gt;"","Matched",IF(tblLedger[[#This Row],[Amount]]&gt;0,"Deposit in transit","Outstanding payment"))</f>
        <v>Matched</v>
      </c>
      <c r="I172" s="10" t="str">
        <f>IF(tblLedger[[#This Row],[Status]]="Matched","",IF(tblLedger[[#This Row],[Status]]="Deposit in transit","Check it is credited on the January statement","Check it is debited on the January statement"))</f>
        <v/>
      </c>
      <c r="J172" s="10" t="str">
        <f>IF(tblLedger[[#This Row],[Status]]="Matched","",COUNTIF(tblBank[Status],"&lt;&gt;Matched")+COUNTIF(INDEX(tblLedger[Status],1):tblLedger[[#This Row],[Status]],"&lt;&gt;Matched"))</f>
        <v/>
      </c>
    </row>
    <row r="173" spans="1:10" x14ac:dyDescent="0.25">
      <c r="A173" s="10" t="s">
        <v>561</v>
      </c>
      <c r="B173" s="6">
        <v>46013</v>
      </c>
      <c r="C173" s="10" t="s">
        <v>562</v>
      </c>
      <c r="D173" s="10" t="s">
        <v>563</v>
      </c>
      <c r="E173" s="11">
        <v>1773.13</v>
      </c>
      <c r="F173" s="10" t="b">
        <f>COUNTIF(tblBank[Reference],tblLedger[[#This Row],[Reference]])&gt;0</f>
        <v>1</v>
      </c>
      <c r="G173" s="10" t="str">
        <f>IFERROR(INDEX(tblBank[BankId],MATCH(tblLedger[[#This Row],[Entry]],tblBank[MatchedEntry],0)),"")</f>
        <v>B156</v>
      </c>
      <c r="H173" s="10" t="str">
        <f>IF(tblLedger[[#This Row],[BankId]]&lt;&gt;"","Matched",IF(tblLedger[[#This Row],[Amount]]&gt;0,"Deposit in transit","Outstanding payment"))</f>
        <v>Matched</v>
      </c>
      <c r="I173" s="10" t="str">
        <f>IF(tblLedger[[#This Row],[Status]]="Matched","",IF(tblLedger[[#This Row],[Status]]="Deposit in transit","Check it is credited on the January statement","Check it is debited on the January statement"))</f>
        <v/>
      </c>
      <c r="J173" s="10" t="str">
        <f>IF(tblLedger[[#This Row],[Status]]="Matched","",COUNTIF(tblBank[Status],"&lt;&gt;Matched")+COUNTIF(INDEX(tblLedger[Status],1):tblLedger[[#This Row],[Status]],"&lt;&gt;Matched"))</f>
        <v/>
      </c>
    </row>
    <row r="174" spans="1:10" x14ac:dyDescent="0.25">
      <c r="A174" s="10" t="s">
        <v>564</v>
      </c>
      <c r="B174" s="6">
        <v>46014</v>
      </c>
      <c r="C174" s="10" t="s">
        <v>565</v>
      </c>
      <c r="D174" s="10" t="s">
        <v>566</v>
      </c>
      <c r="E174" s="11">
        <v>-346</v>
      </c>
      <c r="F174" s="10" t="b">
        <f>COUNTIF(tblBank[Reference],tblLedger[[#This Row],[Reference]])&gt;0</f>
        <v>1</v>
      </c>
      <c r="G174" s="10" t="str">
        <f>IFERROR(INDEX(tblBank[BankId],MATCH(tblLedger[[#This Row],[Entry]],tblBank[MatchedEntry],0)),"")</f>
        <v>B190</v>
      </c>
      <c r="H174" s="10" t="str">
        <f>IF(tblLedger[[#This Row],[BankId]]&lt;&gt;"","Matched",IF(tblLedger[[#This Row],[Amount]]&gt;0,"Deposit in transit","Outstanding payment"))</f>
        <v>Matched</v>
      </c>
      <c r="I174" s="10" t="str">
        <f>IF(tblLedger[[#This Row],[Status]]="Matched","",IF(tblLedger[[#This Row],[Status]]="Deposit in transit","Check it is credited on the January statement","Check it is debited on the January statement"))</f>
        <v/>
      </c>
      <c r="J174" s="10" t="str">
        <f>IF(tblLedger[[#This Row],[Status]]="Matched","",COUNTIF(tblBank[Status],"&lt;&gt;Matched")+COUNTIF(INDEX(tblLedger[Status],1):tblLedger[[#This Row],[Status]],"&lt;&gt;Matched"))</f>
        <v/>
      </c>
    </row>
    <row r="175" spans="1:10" x14ac:dyDescent="0.25">
      <c r="A175" s="10" t="s">
        <v>567</v>
      </c>
      <c r="B175" s="6">
        <v>46014</v>
      </c>
      <c r="C175" s="10" t="s">
        <v>568</v>
      </c>
      <c r="D175" s="10" t="s">
        <v>569</v>
      </c>
      <c r="E175" s="11">
        <v>3531.36</v>
      </c>
      <c r="F175" s="10" t="b">
        <f>COUNTIF(tblBank[Reference],tblLedger[[#This Row],[Reference]])&gt;0</f>
        <v>1</v>
      </c>
      <c r="G175" s="10" t="str">
        <f>IFERROR(INDEX(tblBank[BankId],MATCH(tblLedger[[#This Row],[Entry]],tblBank[MatchedEntry],0)),"")</f>
        <v>B178</v>
      </c>
      <c r="H175" s="10" t="str">
        <f>IF(tblLedger[[#This Row],[BankId]]&lt;&gt;"","Matched",IF(tblLedger[[#This Row],[Amount]]&gt;0,"Deposit in transit","Outstanding payment"))</f>
        <v>Matched</v>
      </c>
      <c r="I175" s="10" t="str">
        <f>IF(tblLedger[[#This Row],[Status]]="Matched","",IF(tblLedger[[#This Row],[Status]]="Deposit in transit","Check it is credited on the January statement","Check it is debited on the January statement"))</f>
        <v/>
      </c>
      <c r="J175" s="10" t="str">
        <f>IF(tblLedger[[#This Row],[Status]]="Matched","",COUNTIF(tblBank[Status],"&lt;&gt;Matched")+COUNTIF(INDEX(tblLedger[Status],1):tblLedger[[#This Row],[Status]],"&lt;&gt;Matched"))</f>
        <v/>
      </c>
    </row>
    <row r="176" spans="1:10" x14ac:dyDescent="0.25">
      <c r="A176" s="10" t="s">
        <v>570</v>
      </c>
      <c r="B176" s="6">
        <v>46014</v>
      </c>
      <c r="C176" s="10" t="s">
        <v>571</v>
      </c>
      <c r="D176" s="10" t="s">
        <v>572</v>
      </c>
      <c r="E176" s="11">
        <v>251.72</v>
      </c>
      <c r="F176" s="10" t="b">
        <f>COUNTIF(tblBank[Reference],tblLedger[[#This Row],[Reference]])&gt;0</f>
        <v>1</v>
      </c>
      <c r="G176" s="10" t="str">
        <f>IFERROR(INDEX(tblBank[BankId],MATCH(tblLedger[[#This Row],[Entry]],tblBank[MatchedEntry],0)),"")</f>
        <v>B181</v>
      </c>
      <c r="H176" s="10" t="str">
        <f>IF(tblLedger[[#This Row],[BankId]]&lt;&gt;"","Matched",IF(tblLedger[[#This Row],[Amount]]&gt;0,"Deposit in transit","Outstanding payment"))</f>
        <v>Matched</v>
      </c>
      <c r="I176" s="10" t="str">
        <f>IF(tblLedger[[#This Row],[Status]]="Matched","",IF(tblLedger[[#This Row],[Status]]="Deposit in transit","Check it is credited on the January statement","Check it is debited on the January statement"))</f>
        <v/>
      </c>
      <c r="J176" s="10" t="str">
        <f>IF(tblLedger[[#This Row],[Status]]="Matched","",COUNTIF(tblBank[Status],"&lt;&gt;Matched")+COUNTIF(INDEX(tblLedger[Status],1):tblLedger[[#This Row],[Status]],"&lt;&gt;Matched"))</f>
        <v/>
      </c>
    </row>
    <row r="177" spans="1:10" x14ac:dyDescent="0.25">
      <c r="A177" s="10" t="s">
        <v>573</v>
      </c>
      <c r="B177" s="6">
        <v>46014</v>
      </c>
      <c r="C177" s="10" t="s">
        <v>574</v>
      </c>
      <c r="D177" s="10" t="s">
        <v>575</v>
      </c>
      <c r="E177" s="11">
        <v>3405.58</v>
      </c>
      <c r="F177" s="10" t="b">
        <f>COUNTIF(tblBank[Reference],tblLedger[[#This Row],[Reference]])&gt;0</f>
        <v>1</v>
      </c>
      <c r="G177" s="10" t="str">
        <f>IFERROR(INDEX(tblBank[BankId],MATCH(tblLedger[[#This Row],[Entry]],tblBank[MatchedEntry],0)),"")</f>
        <v>B177</v>
      </c>
      <c r="H177" s="10" t="str">
        <f>IF(tblLedger[[#This Row],[BankId]]&lt;&gt;"","Matched",IF(tblLedger[[#This Row],[Amount]]&gt;0,"Deposit in transit","Outstanding payment"))</f>
        <v>Matched</v>
      </c>
      <c r="I177" s="10" t="str">
        <f>IF(tblLedger[[#This Row],[Status]]="Matched","",IF(tblLedger[[#This Row],[Status]]="Deposit in transit","Check it is credited on the January statement","Check it is debited on the January statement"))</f>
        <v/>
      </c>
      <c r="J177" s="10" t="str">
        <f>IF(tblLedger[[#This Row],[Status]]="Matched","",COUNTIF(tblBank[Status],"&lt;&gt;Matched")+COUNTIF(INDEX(tblLedger[Status],1):tblLedger[[#This Row],[Status]],"&lt;&gt;Matched"))</f>
        <v/>
      </c>
    </row>
    <row r="178" spans="1:10" x14ac:dyDescent="0.25">
      <c r="A178" s="10" t="s">
        <v>576</v>
      </c>
      <c r="B178" s="6">
        <v>46014</v>
      </c>
      <c r="C178" s="10" t="s">
        <v>577</v>
      </c>
      <c r="D178" s="10" t="s">
        <v>578</v>
      </c>
      <c r="E178" s="11">
        <v>1644.48</v>
      </c>
      <c r="F178" s="10" t="b">
        <f>COUNTIF(tblBank[Reference],tblLedger[[#This Row],[Reference]])&gt;0</f>
        <v>1</v>
      </c>
      <c r="G178" s="10" t="str">
        <f>IFERROR(INDEX(tblBank[BankId],MATCH(tblLedger[[#This Row],[Entry]],tblBank[MatchedEntry],0)),"")</f>
        <v>B179</v>
      </c>
      <c r="H178" s="10" t="str">
        <f>IF(tblLedger[[#This Row],[BankId]]&lt;&gt;"","Matched",IF(tblLedger[[#This Row],[Amount]]&gt;0,"Deposit in transit","Outstanding payment"))</f>
        <v>Matched</v>
      </c>
      <c r="I178" s="10" t="str">
        <f>IF(tblLedger[[#This Row],[Status]]="Matched","",IF(tblLedger[[#This Row],[Status]]="Deposit in transit","Check it is credited on the January statement","Check it is debited on the January statement"))</f>
        <v/>
      </c>
      <c r="J178" s="10" t="str">
        <f>IF(tblLedger[[#This Row],[Status]]="Matched","",COUNTIF(tblBank[Status],"&lt;&gt;Matched")+COUNTIF(INDEX(tblLedger[Status],1):tblLedger[[#This Row],[Status]],"&lt;&gt;Matched"))</f>
        <v/>
      </c>
    </row>
    <row r="179" spans="1:10" x14ac:dyDescent="0.25">
      <c r="A179" s="10" t="s">
        <v>579</v>
      </c>
      <c r="B179" s="6">
        <v>46014</v>
      </c>
      <c r="C179" s="10" t="s">
        <v>580</v>
      </c>
      <c r="D179" s="10" t="s">
        <v>581</v>
      </c>
      <c r="E179" s="11">
        <v>495.9</v>
      </c>
      <c r="F179" s="10" t="b">
        <f>COUNTIF(tblBank[Reference],tblLedger[[#This Row],[Reference]])&gt;0</f>
        <v>1</v>
      </c>
      <c r="G179" s="10" t="str">
        <f>IFERROR(INDEX(tblBank[BankId],MATCH(tblLedger[[#This Row],[Entry]],tblBank[MatchedEntry],0)),"")</f>
        <v>B180</v>
      </c>
      <c r="H179" s="10" t="str">
        <f>IF(tblLedger[[#This Row],[BankId]]&lt;&gt;"","Matched",IF(tblLedger[[#This Row],[Amount]]&gt;0,"Deposit in transit","Outstanding payment"))</f>
        <v>Matched</v>
      </c>
      <c r="I179" s="10" t="str">
        <f>IF(tblLedger[[#This Row],[Status]]="Matched","",IF(tblLedger[[#This Row],[Status]]="Deposit in transit","Check it is credited on the January statement","Check it is debited on the January statement"))</f>
        <v/>
      </c>
      <c r="J179" s="10" t="str">
        <f>IF(tblLedger[[#This Row],[Status]]="Matched","",COUNTIF(tblBank[Status],"&lt;&gt;Matched")+COUNTIF(INDEX(tblLedger[Status],1):tblLedger[[#This Row],[Status]],"&lt;&gt;Matched"))</f>
        <v/>
      </c>
    </row>
    <row r="180" spans="1:10" x14ac:dyDescent="0.25">
      <c r="A180" s="10" t="s">
        <v>582</v>
      </c>
      <c r="B180" s="6">
        <v>46015</v>
      </c>
      <c r="C180" s="10" t="s">
        <v>583</v>
      </c>
      <c r="D180" s="10" t="s">
        <v>584</v>
      </c>
      <c r="E180" s="11">
        <v>42</v>
      </c>
      <c r="F180" s="10" t="b">
        <f>COUNTIF(tblBank[Reference],tblLedger[[#This Row],[Reference]])&gt;0</f>
        <v>1</v>
      </c>
      <c r="G180" s="10" t="str">
        <f>IFERROR(INDEX(tblBank[BankId],MATCH(tblLedger[[#This Row],[Entry]],tblBank[MatchedEntry],0)),"")</f>
        <v>B188</v>
      </c>
      <c r="H180" s="10" t="str">
        <f>IF(tblLedger[[#This Row],[BankId]]&lt;&gt;"","Matched",IF(tblLedger[[#This Row],[Amount]]&gt;0,"Deposit in transit","Outstanding payment"))</f>
        <v>Matched</v>
      </c>
      <c r="I180" s="10" t="str">
        <f>IF(tblLedger[[#This Row],[Status]]="Matched","",IF(tblLedger[[#This Row],[Status]]="Deposit in transit","Check it is credited on the January statement","Check it is debited on the January statement"))</f>
        <v/>
      </c>
      <c r="J180" s="10" t="str">
        <f>IF(tblLedger[[#This Row],[Status]]="Matched","",COUNTIF(tblBank[Status],"&lt;&gt;Matched")+COUNTIF(INDEX(tblLedger[Status],1):tblLedger[[#This Row],[Status]],"&lt;&gt;Matched"))</f>
        <v/>
      </c>
    </row>
    <row r="181" spans="1:10" x14ac:dyDescent="0.25">
      <c r="A181" s="10" t="s">
        <v>585</v>
      </c>
      <c r="B181" s="6">
        <v>46015</v>
      </c>
      <c r="C181" s="10" t="s">
        <v>586</v>
      </c>
      <c r="D181" s="10" t="s">
        <v>587</v>
      </c>
      <c r="E181" s="11">
        <v>383.02</v>
      </c>
      <c r="F181" s="10" t="b">
        <f>COUNTIF(tblBank[Reference],tblLedger[[#This Row],[Reference]])&gt;0</f>
        <v>1</v>
      </c>
      <c r="G181" s="10" t="str">
        <f>IFERROR(INDEX(tblBank[BankId],MATCH(tblLedger[[#This Row],[Entry]],tblBank[MatchedEntry],0)),"")</f>
        <v>B187</v>
      </c>
      <c r="H181" s="10" t="str">
        <f>IF(tblLedger[[#This Row],[BankId]]&lt;&gt;"","Matched",IF(tblLedger[[#This Row],[Amount]]&gt;0,"Deposit in transit","Outstanding payment"))</f>
        <v>Matched</v>
      </c>
      <c r="I181" s="10" t="str">
        <f>IF(tblLedger[[#This Row],[Status]]="Matched","",IF(tblLedger[[#This Row],[Status]]="Deposit in transit","Check it is credited on the January statement","Check it is debited on the January statement"))</f>
        <v/>
      </c>
      <c r="J181" s="10" t="str">
        <f>IF(tblLedger[[#This Row],[Status]]="Matched","",COUNTIF(tblBank[Status],"&lt;&gt;Matched")+COUNTIF(INDEX(tblLedger[Status],1):tblLedger[[#This Row],[Status]],"&lt;&gt;Matched"))</f>
        <v/>
      </c>
    </row>
    <row r="182" spans="1:10" x14ac:dyDescent="0.25">
      <c r="A182" s="10" t="s">
        <v>588</v>
      </c>
      <c r="B182" s="6">
        <v>46015</v>
      </c>
      <c r="C182" s="10" t="s">
        <v>589</v>
      </c>
      <c r="D182" s="10" t="s">
        <v>590</v>
      </c>
      <c r="E182" s="11">
        <v>1801.99</v>
      </c>
      <c r="F182" s="10" t="b">
        <f>COUNTIF(tblBank[Reference],tblLedger[[#This Row],[Reference]])&gt;0</f>
        <v>1</v>
      </c>
      <c r="G182" s="10" t="str">
        <f>IFERROR(INDEX(tblBank[BankId],MATCH(tblLedger[[#This Row],[Entry]],tblBank[MatchedEntry],0)),"")</f>
        <v>B186</v>
      </c>
      <c r="H182" s="10" t="str">
        <f>IF(tblLedger[[#This Row],[BankId]]&lt;&gt;"","Matched",IF(tblLedger[[#This Row],[Amount]]&gt;0,"Deposit in transit","Outstanding payment"))</f>
        <v>Matched</v>
      </c>
      <c r="I182" s="10" t="str">
        <f>IF(tblLedger[[#This Row],[Status]]="Matched","",IF(tblLedger[[#This Row],[Status]]="Deposit in transit","Check it is credited on the January statement","Check it is debited on the January statement"))</f>
        <v/>
      </c>
      <c r="J182" s="10" t="str">
        <f>IF(tblLedger[[#This Row],[Status]]="Matched","",COUNTIF(tblBank[Status],"&lt;&gt;Matched")+COUNTIF(INDEX(tblLedger[Status],1):tblLedger[[#This Row],[Status]],"&lt;&gt;Matched"))</f>
        <v/>
      </c>
    </row>
    <row r="183" spans="1:10" x14ac:dyDescent="0.25">
      <c r="A183" s="10" t="s">
        <v>591</v>
      </c>
      <c r="B183" s="6">
        <v>46015</v>
      </c>
      <c r="C183" s="10" t="s">
        <v>592</v>
      </c>
      <c r="D183" s="10" t="s">
        <v>593</v>
      </c>
      <c r="E183" s="11">
        <v>621.04999999999995</v>
      </c>
      <c r="F183" s="10" t="b">
        <f>COUNTIF(tblBank[Reference],tblLedger[[#This Row],[Reference]])&gt;0</f>
        <v>1</v>
      </c>
      <c r="G183" s="10" t="str">
        <f>IFERROR(INDEX(tblBank[BankId],MATCH(tblLedger[[#This Row],[Entry]],tblBank[MatchedEntry],0)),"")</f>
        <v>B184</v>
      </c>
      <c r="H183" s="10" t="str">
        <f>IF(tblLedger[[#This Row],[BankId]]&lt;&gt;"","Matched",IF(tblLedger[[#This Row],[Amount]]&gt;0,"Deposit in transit","Outstanding payment"))</f>
        <v>Matched</v>
      </c>
      <c r="I183" s="10" t="str">
        <f>IF(tblLedger[[#This Row],[Status]]="Matched","",IF(tblLedger[[#This Row],[Status]]="Deposit in transit","Check it is credited on the January statement","Check it is debited on the January statement"))</f>
        <v/>
      </c>
      <c r="J183" s="10" t="str">
        <f>IF(tblLedger[[#This Row],[Status]]="Matched","",COUNTIF(tblBank[Status],"&lt;&gt;Matched")+COUNTIF(INDEX(tblLedger[Status],1):tblLedger[[#This Row],[Status]],"&lt;&gt;Matched"))</f>
        <v/>
      </c>
    </row>
    <row r="184" spans="1:10" x14ac:dyDescent="0.25">
      <c r="A184" s="10" t="s">
        <v>594</v>
      </c>
      <c r="B184" s="6">
        <v>46015</v>
      </c>
      <c r="C184" s="10" t="s">
        <v>595</v>
      </c>
      <c r="D184" s="10" t="s">
        <v>596</v>
      </c>
      <c r="E184" s="11">
        <v>-3156.11</v>
      </c>
      <c r="F184" s="10" t="b">
        <f>COUNTIF(tblBank[Reference],tblLedger[[#This Row],[Reference]])&gt;0</f>
        <v>1</v>
      </c>
      <c r="G184" s="10" t="str">
        <f>IFERROR(INDEX(tblBank[BankId],MATCH(tblLedger[[#This Row],[Entry]],tblBank[MatchedEntry],0)),"")</f>
        <v>B191</v>
      </c>
      <c r="H184" s="10" t="str">
        <f>IF(tblLedger[[#This Row],[BankId]]&lt;&gt;"","Matched",IF(tblLedger[[#This Row],[Amount]]&gt;0,"Deposit in transit","Outstanding payment"))</f>
        <v>Matched</v>
      </c>
      <c r="I184" s="10" t="str">
        <f>IF(tblLedger[[#This Row],[Status]]="Matched","",IF(tblLedger[[#This Row],[Status]]="Deposit in transit","Check it is credited on the January statement","Check it is debited on the January statement"))</f>
        <v/>
      </c>
      <c r="J184" s="10" t="str">
        <f>IF(tblLedger[[#This Row],[Status]]="Matched","",COUNTIF(tblBank[Status],"&lt;&gt;Matched")+COUNTIF(INDEX(tblLedger[Status],1):tblLedger[[#This Row],[Status]],"&lt;&gt;Matched"))</f>
        <v/>
      </c>
    </row>
    <row r="185" spans="1:10" x14ac:dyDescent="0.25">
      <c r="A185" s="10" t="s">
        <v>597</v>
      </c>
      <c r="B185" s="6">
        <v>46015</v>
      </c>
      <c r="C185" s="10" t="s">
        <v>598</v>
      </c>
      <c r="D185" s="10" t="s">
        <v>599</v>
      </c>
      <c r="E185" s="11">
        <v>-3682.04</v>
      </c>
      <c r="F185" s="10" t="b">
        <f>COUNTIF(tblBank[Reference],tblLedger[[#This Row],[Reference]])&gt;0</f>
        <v>1</v>
      </c>
      <c r="G185" s="10" t="str">
        <f>IFERROR(INDEX(tblBank[BankId],MATCH(tblLedger[[#This Row],[Entry]],tblBank[MatchedEntry],0)),"")</f>
        <v>B189</v>
      </c>
      <c r="H185" s="10" t="str">
        <f>IF(tblLedger[[#This Row],[BankId]]&lt;&gt;"","Matched",IF(tblLedger[[#This Row],[Amount]]&gt;0,"Deposit in transit","Outstanding payment"))</f>
        <v>Matched</v>
      </c>
      <c r="I185" s="10" t="str">
        <f>IF(tblLedger[[#This Row],[Status]]="Matched","",IF(tblLedger[[#This Row],[Status]]="Deposit in transit","Check it is credited on the January statement","Check it is debited on the January statement"))</f>
        <v/>
      </c>
      <c r="J185" s="10" t="str">
        <f>IF(tblLedger[[#This Row],[Status]]="Matched","",COUNTIF(tblBank[Status],"&lt;&gt;Matched")+COUNTIF(INDEX(tblLedger[Status],1):tblLedger[[#This Row],[Status]],"&lt;&gt;Matched"))</f>
        <v/>
      </c>
    </row>
    <row r="186" spans="1:10" x14ac:dyDescent="0.25">
      <c r="A186" s="10" t="s">
        <v>600</v>
      </c>
      <c r="B186" s="6">
        <v>46015</v>
      </c>
      <c r="C186" s="10" t="s">
        <v>601</v>
      </c>
      <c r="D186" s="10" t="s">
        <v>602</v>
      </c>
      <c r="E186" s="11">
        <v>701.63</v>
      </c>
      <c r="F186" s="10" t="b">
        <f>COUNTIF(tblBank[Reference],tblLedger[[#This Row],[Reference]])&gt;0</f>
        <v>1</v>
      </c>
      <c r="G186" s="10" t="str">
        <f>IFERROR(INDEX(tblBank[BankId],MATCH(tblLedger[[#This Row],[Entry]],tblBank[MatchedEntry],0)),"")</f>
        <v>B185</v>
      </c>
      <c r="H186" s="10" t="str">
        <f>IF(tblLedger[[#This Row],[BankId]]&lt;&gt;"","Matched",IF(tblLedger[[#This Row],[Amount]]&gt;0,"Deposit in transit","Outstanding payment"))</f>
        <v>Matched</v>
      </c>
      <c r="I186" s="10" t="str">
        <f>IF(tblLedger[[#This Row],[Status]]="Matched","",IF(tblLedger[[#This Row],[Status]]="Deposit in transit","Check it is credited on the January statement","Check it is debited on the January statement"))</f>
        <v/>
      </c>
      <c r="J186" s="10" t="str">
        <f>IF(tblLedger[[#This Row],[Status]]="Matched","",COUNTIF(tblBank[Status],"&lt;&gt;Matched")+COUNTIF(INDEX(tblLedger[Status],1):tblLedger[[#This Row],[Status]],"&lt;&gt;Matched"))</f>
        <v/>
      </c>
    </row>
    <row r="187" spans="1:10" x14ac:dyDescent="0.25">
      <c r="A187" s="10" t="s">
        <v>603</v>
      </c>
      <c r="B187" s="6">
        <v>46015</v>
      </c>
      <c r="C187" s="10" t="s">
        <v>604</v>
      </c>
      <c r="D187" s="10" t="s">
        <v>605</v>
      </c>
      <c r="E187" s="11">
        <v>-601.80999999999995</v>
      </c>
      <c r="F187" s="10" t="b">
        <f>COUNTIF(tblBank[Reference],tblLedger[[#This Row],[Reference]])&gt;0</f>
        <v>1</v>
      </c>
      <c r="G187" s="10" t="str">
        <f>IFERROR(INDEX(tblBank[BankId],MATCH(tblLedger[[#This Row],[Entry]],tblBank[MatchedEntry],0)),"")</f>
        <v>B182</v>
      </c>
      <c r="H187" s="10" t="str">
        <f>IF(tblLedger[[#This Row],[BankId]]&lt;&gt;"","Matched",IF(tblLedger[[#This Row],[Amount]]&gt;0,"Deposit in transit","Outstanding payment"))</f>
        <v>Matched</v>
      </c>
      <c r="I187" s="10" t="str">
        <f>IF(tblLedger[[#This Row],[Status]]="Matched","",IF(tblLedger[[#This Row],[Status]]="Deposit in transit","Check it is credited on the January statement","Check it is debited on the January statement"))</f>
        <v/>
      </c>
      <c r="J187" s="10" t="str">
        <f>IF(tblLedger[[#This Row],[Status]]="Matched","",COUNTIF(tblBank[Status],"&lt;&gt;Matched")+COUNTIF(INDEX(tblLedger[Status],1):tblLedger[[#This Row],[Status]],"&lt;&gt;Matched"))</f>
        <v/>
      </c>
    </row>
    <row r="188" spans="1:10" x14ac:dyDescent="0.25">
      <c r="A188" s="10" t="s">
        <v>606</v>
      </c>
      <c r="B188" s="6">
        <v>46015</v>
      </c>
      <c r="C188" s="10" t="s">
        <v>607</v>
      </c>
      <c r="D188" s="10" t="s">
        <v>608</v>
      </c>
      <c r="E188" s="11">
        <v>2584.14</v>
      </c>
      <c r="F188" s="10" t="b">
        <f>COUNTIF(tblBank[Reference],tblLedger[[#This Row],[Reference]])&gt;0</f>
        <v>1</v>
      </c>
      <c r="G188" s="10" t="str">
        <f>IFERROR(INDEX(tblBank[BankId],MATCH(tblLedger[[#This Row],[Entry]],tblBank[MatchedEntry],0)),"")</f>
        <v>B183</v>
      </c>
      <c r="H188" s="10" t="str">
        <f>IF(tblLedger[[#This Row],[BankId]]&lt;&gt;"","Matched",IF(tblLedger[[#This Row],[Amount]]&gt;0,"Deposit in transit","Outstanding payment"))</f>
        <v>Matched</v>
      </c>
      <c r="I188" s="10" t="str">
        <f>IF(tblLedger[[#This Row],[Status]]="Matched","",IF(tblLedger[[#This Row],[Status]]="Deposit in transit","Check it is credited on the January statement","Check it is debited on the January statement"))</f>
        <v/>
      </c>
      <c r="J188" s="10" t="str">
        <f>IF(tblLedger[[#This Row],[Status]]="Matched","",COUNTIF(tblBank[Status],"&lt;&gt;Matched")+COUNTIF(INDEX(tblLedger[Status],1):tblLedger[[#This Row],[Status]],"&lt;&gt;Matched"))</f>
        <v/>
      </c>
    </row>
    <row r="189" spans="1:10" x14ac:dyDescent="0.25">
      <c r="A189" s="10" t="s">
        <v>609</v>
      </c>
      <c r="B189" s="6">
        <v>46017</v>
      </c>
      <c r="C189" s="10" t="s">
        <v>610</v>
      </c>
      <c r="D189" s="10" t="s">
        <v>611</v>
      </c>
      <c r="E189" s="11">
        <v>364.98</v>
      </c>
      <c r="F189" s="10" t="b">
        <f>COUNTIF(tblBank[Reference],tblLedger[[#This Row],[Reference]])&gt;0</f>
        <v>1</v>
      </c>
      <c r="G189" s="10" t="str">
        <f>IFERROR(INDEX(tblBank[BankId],MATCH(tblLedger[[#This Row],[Entry]],tblBank[MatchedEntry],0)),"")</f>
        <v>B201</v>
      </c>
      <c r="H189" s="10" t="str">
        <f>IF(tblLedger[[#This Row],[BankId]]&lt;&gt;"","Matched",IF(tblLedger[[#This Row],[Amount]]&gt;0,"Deposit in transit","Outstanding payment"))</f>
        <v>Matched</v>
      </c>
      <c r="I189" s="10" t="str">
        <f>IF(tblLedger[[#This Row],[Status]]="Matched","",IF(tblLedger[[#This Row],[Status]]="Deposit in transit","Check it is credited on the January statement","Check it is debited on the January statement"))</f>
        <v/>
      </c>
      <c r="J189" s="10" t="str">
        <f>IF(tblLedger[[#This Row],[Status]]="Matched","",COUNTIF(tblBank[Status],"&lt;&gt;Matched")+COUNTIF(INDEX(tblLedger[Status],1):tblLedger[[#This Row],[Status]],"&lt;&gt;Matched"))</f>
        <v/>
      </c>
    </row>
    <row r="190" spans="1:10" x14ac:dyDescent="0.25">
      <c r="A190" s="10" t="s">
        <v>612</v>
      </c>
      <c r="B190" s="6">
        <v>46017</v>
      </c>
      <c r="C190" s="10" t="s">
        <v>613</v>
      </c>
      <c r="D190" s="10" t="s">
        <v>614</v>
      </c>
      <c r="E190" s="11">
        <v>20227.97</v>
      </c>
      <c r="F190" s="10" t="b">
        <f>COUNTIF(tblBank[Reference],tblLedger[[#This Row],[Reference]])&gt;0</f>
        <v>1</v>
      </c>
      <c r="G190" s="10" t="str">
        <f>IFERROR(INDEX(tblBank[BankId],MATCH(tblLedger[[#This Row],[Entry]],tblBank[MatchedEntry],0)),"")</f>
        <v>B196</v>
      </c>
      <c r="H190" s="10" t="str">
        <f>IF(tblLedger[[#This Row],[BankId]]&lt;&gt;"","Matched",IF(tblLedger[[#This Row],[Amount]]&gt;0,"Deposit in transit","Outstanding payment"))</f>
        <v>Matched</v>
      </c>
      <c r="I190" s="10" t="str">
        <f>IF(tblLedger[[#This Row],[Status]]="Matched","",IF(tblLedger[[#This Row],[Status]]="Deposit in transit","Check it is credited on the January statement","Check it is debited on the January statement"))</f>
        <v/>
      </c>
      <c r="J190" s="10" t="str">
        <f>IF(tblLedger[[#This Row],[Status]]="Matched","",COUNTIF(tblBank[Status],"&lt;&gt;Matched")+COUNTIF(INDEX(tblLedger[Status],1):tblLedger[[#This Row],[Status]],"&lt;&gt;Matched"))</f>
        <v/>
      </c>
    </row>
    <row r="191" spans="1:10" x14ac:dyDescent="0.25">
      <c r="A191" s="10" t="s">
        <v>615</v>
      </c>
      <c r="B191" s="6">
        <v>46017</v>
      </c>
      <c r="C191" s="10" t="s">
        <v>616</v>
      </c>
      <c r="D191" s="10" t="s">
        <v>617</v>
      </c>
      <c r="E191" s="11">
        <v>-551.52</v>
      </c>
      <c r="F191" s="10" t="b">
        <f>COUNTIF(tblBank[Reference],tblLedger[[#This Row],[Reference]])&gt;0</f>
        <v>1</v>
      </c>
      <c r="G191" s="10" t="str">
        <f>IFERROR(INDEX(tblBank[BankId],MATCH(tblLedger[[#This Row],[Entry]],tblBank[MatchedEntry],0)),"")</f>
        <v>B202</v>
      </c>
      <c r="H191" s="10" t="str">
        <f>IF(tblLedger[[#This Row],[BankId]]&lt;&gt;"","Matched",IF(tblLedger[[#This Row],[Amount]]&gt;0,"Deposit in transit","Outstanding payment"))</f>
        <v>Matched</v>
      </c>
      <c r="I191" s="10" t="str">
        <f>IF(tblLedger[[#This Row],[Status]]="Matched","",IF(tblLedger[[#This Row],[Status]]="Deposit in transit","Check it is credited on the January statement","Check it is debited on the January statement"))</f>
        <v/>
      </c>
      <c r="J191" s="10" t="str">
        <f>IF(tblLedger[[#This Row],[Status]]="Matched","",COUNTIF(tblBank[Status],"&lt;&gt;Matched")+COUNTIF(INDEX(tblLedger[Status],1):tblLedger[[#This Row],[Status]],"&lt;&gt;Matched"))</f>
        <v/>
      </c>
    </row>
    <row r="192" spans="1:10" x14ac:dyDescent="0.25">
      <c r="A192" s="10" t="s">
        <v>618</v>
      </c>
      <c r="B192" s="6">
        <v>46017</v>
      </c>
      <c r="C192" s="10" t="s">
        <v>619</v>
      </c>
      <c r="D192" s="10" t="s">
        <v>620</v>
      </c>
      <c r="E192" s="11">
        <v>1379.02</v>
      </c>
      <c r="F192" s="10" t="b">
        <f>COUNTIF(tblBank[Reference],tblLedger[[#This Row],[Reference]])&gt;0</f>
        <v>1</v>
      </c>
      <c r="G192" s="10" t="str">
        <f>IFERROR(INDEX(tblBank[BankId],MATCH(tblLedger[[#This Row],[Entry]],tblBank[MatchedEntry],0)),"")</f>
        <v>B199</v>
      </c>
      <c r="H192" s="10" t="str">
        <f>IF(tblLedger[[#This Row],[BankId]]&lt;&gt;"","Matched",IF(tblLedger[[#This Row],[Amount]]&gt;0,"Deposit in transit","Outstanding payment"))</f>
        <v>Matched</v>
      </c>
      <c r="I192" s="10" t="str">
        <f>IF(tblLedger[[#This Row],[Status]]="Matched","",IF(tblLedger[[#This Row],[Status]]="Deposit in transit","Check it is credited on the January statement","Check it is debited on the January statement"))</f>
        <v/>
      </c>
      <c r="J192" s="10" t="str">
        <f>IF(tblLedger[[#This Row],[Status]]="Matched","",COUNTIF(tblBank[Status],"&lt;&gt;Matched")+COUNTIF(INDEX(tblLedger[Status],1):tblLedger[[#This Row],[Status]],"&lt;&gt;Matched"))</f>
        <v/>
      </c>
    </row>
    <row r="193" spans="1:10" x14ac:dyDescent="0.25">
      <c r="A193" s="10" t="s">
        <v>621</v>
      </c>
      <c r="B193" s="6">
        <v>46017</v>
      </c>
      <c r="C193" s="10" t="s">
        <v>622</v>
      </c>
      <c r="D193" s="10" t="s">
        <v>623</v>
      </c>
      <c r="E193" s="11">
        <v>235.03</v>
      </c>
      <c r="F193" s="10" t="b">
        <f>COUNTIF(tblBank[Reference],tblLedger[[#This Row],[Reference]])&gt;0</f>
        <v>1</v>
      </c>
      <c r="G193" s="10" t="str">
        <f>IFERROR(INDEX(tblBank[BankId],MATCH(tblLedger[[#This Row],[Entry]],tblBank[MatchedEntry],0)),"")</f>
        <v>B192</v>
      </c>
      <c r="H193" s="10" t="str">
        <f>IF(tblLedger[[#This Row],[BankId]]&lt;&gt;"","Matched",IF(tblLedger[[#This Row],[Amount]]&gt;0,"Deposit in transit","Outstanding payment"))</f>
        <v>Matched</v>
      </c>
      <c r="I193" s="10" t="str">
        <f>IF(tblLedger[[#This Row],[Status]]="Matched","",IF(tblLedger[[#This Row],[Status]]="Deposit in transit","Check it is credited on the January statement","Check it is debited on the January statement"))</f>
        <v/>
      </c>
      <c r="J193" s="10" t="str">
        <f>IF(tblLedger[[#This Row],[Status]]="Matched","",COUNTIF(tblBank[Status],"&lt;&gt;Matched")+COUNTIF(INDEX(tblLedger[Status],1):tblLedger[[#This Row],[Status]],"&lt;&gt;Matched"))</f>
        <v/>
      </c>
    </row>
    <row r="194" spans="1:10" x14ac:dyDescent="0.25">
      <c r="A194" s="10" t="s">
        <v>624</v>
      </c>
      <c r="B194" s="6">
        <v>46017</v>
      </c>
      <c r="C194" s="10" t="s">
        <v>625</v>
      </c>
      <c r="D194" s="10" t="s">
        <v>626</v>
      </c>
      <c r="E194" s="11">
        <v>156.83000000000001</v>
      </c>
      <c r="F194" s="10" t="b">
        <f>COUNTIF(tblBank[Reference],tblLedger[[#This Row],[Reference]])&gt;0</f>
        <v>1</v>
      </c>
      <c r="G194" s="10" t="str">
        <f>IFERROR(INDEX(tblBank[BankId],MATCH(tblLedger[[#This Row],[Entry]],tblBank[MatchedEntry],0)),"")</f>
        <v>B198</v>
      </c>
      <c r="H194" s="10" t="str">
        <f>IF(tblLedger[[#This Row],[BankId]]&lt;&gt;"","Matched",IF(tblLedger[[#This Row],[Amount]]&gt;0,"Deposit in transit","Outstanding payment"))</f>
        <v>Matched</v>
      </c>
      <c r="I194" s="10" t="str">
        <f>IF(tblLedger[[#This Row],[Status]]="Matched","",IF(tblLedger[[#This Row],[Status]]="Deposit in transit","Check it is credited on the January statement","Check it is debited on the January statement"))</f>
        <v/>
      </c>
      <c r="J194" s="10" t="str">
        <f>IF(tblLedger[[#This Row],[Status]]="Matched","",COUNTIF(tblBank[Status],"&lt;&gt;Matched")+COUNTIF(INDEX(tblLedger[Status],1):tblLedger[[#This Row],[Status]],"&lt;&gt;Matched"))</f>
        <v/>
      </c>
    </row>
    <row r="195" spans="1:10" x14ac:dyDescent="0.25">
      <c r="A195" s="10" t="s">
        <v>627</v>
      </c>
      <c r="B195" s="6">
        <v>46017</v>
      </c>
      <c r="C195" s="10" t="s">
        <v>628</v>
      </c>
      <c r="D195" s="10" t="s">
        <v>629</v>
      </c>
      <c r="E195" s="11">
        <v>2701.37</v>
      </c>
      <c r="F195" s="10" t="b">
        <f>COUNTIF(tblBank[Reference],tblLedger[[#This Row],[Reference]])&gt;0</f>
        <v>1</v>
      </c>
      <c r="G195" s="10" t="str">
        <f>IFERROR(INDEX(tblBank[BankId],MATCH(tblLedger[[#This Row],[Entry]],tblBank[MatchedEntry],0)),"")</f>
        <v>B195</v>
      </c>
      <c r="H195" s="10" t="str">
        <f>IF(tblLedger[[#This Row],[BankId]]&lt;&gt;"","Matched",IF(tblLedger[[#This Row],[Amount]]&gt;0,"Deposit in transit","Outstanding payment"))</f>
        <v>Matched</v>
      </c>
      <c r="I195" s="10" t="str">
        <f>IF(tblLedger[[#This Row],[Status]]="Matched","",IF(tblLedger[[#This Row],[Status]]="Deposit in transit","Check it is credited on the January statement","Check it is debited on the January statement"))</f>
        <v/>
      </c>
      <c r="J195" s="10" t="str">
        <f>IF(tblLedger[[#This Row],[Status]]="Matched","",COUNTIF(tblBank[Status],"&lt;&gt;Matched")+COUNTIF(INDEX(tblLedger[Status],1):tblLedger[[#This Row],[Status]],"&lt;&gt;Matched"))</f>
        <v/>
      </c>
    </row>
    <row r="196" spans="1:10" x14ac:dyDescent="0.25">
      <c r="A196" s="10" t="s">
        <v>630</v>
      </c>
      <c r="B196" s="6">
        <v>46017</v>
      </c>
      <c r="C196" s="10" t="s">
        <v>631</v>
      </c>
      <c r="D196" s="10" t="s">
        <v>632</v>
      </c>
      <c r="E196" s="11">
        <v>-1035.4000000000001</v>
      </c>
      <c r="F196" s="10" t="b">
        <f>COUNTIF(tblBank[Reference],tblLedger[[#This Row],[Reference]])&gt;0</f>
        <v>1</v>
      </c>
      <c r="G196" s="10" t="str">
        <f>IFERROR(INDEX(tblBank[BankId],MATCH(tblLedger[[#This Row],[Entry]],tblBank[MatchedEntry],0)),"")</f>
        <v>B218</v>
      </c>
      <c r="H196" s="10" t="str">
        <f>IF(tblLedger[[#This Row],[BankId]]&lt;&gt;"","Matched",IF(tblLedger[[#This Row],[Amount]]&gt;0,"Deposit in transit","Outstanding payment"))</f>
        <v>Matched</v>
      </c>
      <c r="I196" s="10" t="str">
        <f>IF(tblLedger[[#This Row],[Status]]="Matched","",IF(tblLedger[[#This Row],[Status]]="Deposit in transit","Check it is credited on the January statement","Check it is debited on the January statement"))</f>
        <v/>
      </c>
      <c r="J196" s="10" t="str">
        <f>IF(tblLedger[[#This Row],[Status]]="Matched","",COUNTIF(tblBank[Status],"&lt;&gt;Matched")+COUNTIF(INDEX(tblLedger[Status],1):tblLedger[[#This Row],[Status]],"&lt;&gt;Matched"))</f>
        <v/>
      </c>
    </row>
    <row r="197" spans="1:10" x14ac:dyDescent="0.25">
      <c r="A197" s="10" t="s">
        <v>633</v>
      </c>
      <c r="B197" s="6">
        <v>46017</v>
      </c>
      <c r="C197" s="10" t="s">
        <v>634</v>
      </c>
      <c r="D197" s="10" t="s">
        <v>635</v>
      </c>
      <c r="E197" s="11">
        <v>436.26</v>
      </c>
      <c r="F197" s="10" t="b">
        <f>COUNTIF(tblBank[Reference],tblLedger[[#This Row],[Reference]])&gt;0</f>
        <v>1</v>
      </c>
      <c r="G197" s="10" t="str">
        <f>IFERROR(INDEX(tblBank[BankId],MATCH(tblLedger[[#This Row],[Entry]],tblBank[MatchedEntry],0)),"")</f>
        <v>B197</v>
      </c>
      <c r="H197" s="10" t="str">
        <f>IF(tblLedger[[#This Row],[BankId]]&lt;&gt;"","Matched",IF(tblLedger[[#This Row],[Amount]]&gt;0,"Deposit in transit","Outstanding payment"))</f>
        <v>Matched</v>
      </c>
      <c r="I197" s="10" t="str">
        <f>IF(tblLedger[[#This Row],[Status]]="Matched","",IF(tblLedger[[#This Row],[Status]]="Deposit in transit","Check it is credited on the January statement","Check it is debited on the January statement"))</f>
        <v/>
      </c>
      <c r="J197" s="10" t="str">
        <f>IF(tblLedger[[#This Row],[Status]]="Matched","",COUNTIF(tblBank[Status],"&lt;&gt;Matched")+COUNTIF(INDEX(tblLedger[Status],1):tblLedger[[#This Row],[Status]],"&lt;&gt;Matched"))</f>
        <v/>
      </c>
    </row>
    <row r="198" spans="1:10" x14ac:dyDescent="0.25">
      <c r="A198" s="10" t="s">
        <v>636</v>
      </c>
      <c r="B198" s="6">
        <v>46017</v>
      </c>
      <c r="C198" s="10" t="s">
        <v>637</v>
      </c>
      <c r="D198" s="10" t="s">
        <v>638</v>
      </c>
      <c r="E198" s="11">
        <v>-946.62</v>
      </c>
      <c r="F198" s="10" t="b">
        <f>COUNTIF(tblBank[Reference],tblLedger[[#This Row],[Reference]])&gt;0</f>
        <v>1</v>
      </c>
      <c r="G198" s="10" t="str">
        <f>IFERROR(INDEX(tblBank[BankId],MATCH(tblLedger[[#This Row],[Entry]],tblBank[MatchedEntry],0)),"")</f>
        <v>B225</v>
      </c>
      <c r="H198" s="10" t="str">
        <f>IF(tblLedger[[#This Row],[BankId]]&lt;&gt;"","Matched",IF(tblLedger[[#This Row],[Amount]]&gt;0,"Deposit in transit","Outstanding payment"))</f>
        <v>Matched</v>
      </c>
      <c r="I198" s="10" t="str">
        <f>IF(tblLedger[[#This Row],[Status]]="Matched","",IF(tblLedger[[#This Row],[Status]]="Deposit in transit","Check it is credited on the January statement","Check it is debited on the January statement"))</f>
        <v/>
      </c>
      <c r="J198" s="10" t="str">
        <f>IF(tblLedger[[#This Row],[Status]]="Matched","",COUNTIF(tblBank[Status],"&lt;&gt;Matched")+COUNTIF(INDEX(tblLedger[Status],1):tblLedger[[#This Row],[Status]],"&lt;&gt;Matched"))</f>
        <v/>
      </c>
    </row>
    <row r="199" spans="1:10" x14ac:dyDescent="0.25">
      <c r="A199" s="10" t="s">
        <v>639</v>
      </c>
      <c r="B199" s="6">
        <v>46017</v>
      </c>
      <c r="C199" s="10" t="s">
        <v>640</v>
      </c>
      <c r="D199" s="10" t="s">
        <v>641</v>
      </c>
      <c r="E199" s="11">
        <v>5217.8500000000004</v>
      </c>
      <c r="F199" s="10" t="b">
        <f>COUNTIF(tblBank[Reference],tblLedger[[#This Row],[Reference]])&gt;0</f>
        <v>1</v>
      </c>
      <c r="G199" s="10" t="str">
        <f>IFERROR(INDEX(tblBank[BankId],MATCH(tblLedger[[#This Row],[Entry]],tblBank[MatchedEntry],0)),"")</f>
        <v>B200</v>
      </c>
      <c r="H199" s="10" t="str">
        <f>IF(tblLedger[[#This Row],[BankId]]&lt;&gt;"","Matched",IF(tblLedger[[#This Row],[Amount]]&gt;0,"Deposit in transit","Outstanding payment"))</f>
        <v>Matched</v>
      </c>
      <c r="I199" s="10" t="str">
        <f>IF(tblLedger[[#This Row],[Status]]="Matched","",IF(tblLedger[[#This Row],[Status]]="Deposit in transit","Check it is credited on the January statement","Check it is debited on the January statement"))</f>
        <v/>
      </c>
      <c r="J199" s="10" t="str">
        <f>IF(tblLedger[[#This Row],[Status]]="Matched","",COUNTIF(tblBank[Status],"&lt;&gt;Matched")+COUNTIF(INDEX(tblLedger[Status],1):tblLedger[[#This Row],[Status]],"&lt;&gt;Matched"))</f>
        <v/>
      </c>
    </row>
    <row r="200" spans="1:10" x14ac:dyDescent="0.25">
      <c r="A200" s="10" t="s">
        <v>642</v>
      </c>
      <c r="B200" s="6">
        <v>46017</v>
      </c>
      <c r="C200" s="10" t="s">
        <v>643</v>
      </c>
      <c r="D200" s="10" t="s">
        <v>644</v>
      </c>
      <c r="E200" s="11">
        <v>159.13999999999999</v>
      </c>
      <c r="F200" s="10" t="b">
        <f>COUNTIF(tblBank[Reference],tblLedger[[#This Row],[Reference]])&gt;0</f>
        <v>1</v>
      </c>
      <c r="G200" s="10" t="str">
        <f>IFERROR(INDEX(tblBank[BankId],MATCH(tblLedger[[#This Row],[Entry]],tblBank[MatchedEntry],0)),"")</f>
        <v>B193</v>
      </c>
      <c r="H200" s="10" t="str">
        <f>IF(tblLedger[[#This Row],[BankId]]&lt;&gt;"","Matched",IF(tblLedger[[#This Row],[Amount]]&gt;0,"Deposit in transit","Outstanding payment"))</f>
        <v>Matched</v>
      </c>
      <c r="I200" s="10" t="str">
        <f>IF(tblLedger[[#This Row],[Status]]="Matched","",IF(tblLedger[[#This Row],[Status]]="Deposit in transit","Check it is credited on the January statement","Check it is debited on the January statement"))</f>
        <v/>
      </c>
      <c r="J200" s="10" t="str">
        <f>IF(tblLedger[[#This Row],[Status]]="Matched","",COUNTIF(tblBank[Status],"&lt;&gt;Matched")+COUNTIF(INDEX(tblLedger[Status],1):tblLedger[[#This Row],[Status]],"&lt;&gt;Matched"))</f>
        <v/>
      </c>
    </row>
    <row r="201" spans="1:10" x14ac:dyDescent="0.25">
      <c r="A201" s="10" t="s">
        <v>645</v>
      </c>
      <c r="B201" s="6">
        <v>46017</v>
      </c>
      <c r="C201" s="10" t="s">
        <v>646</v>
      </c>
      <c r="D201" s="10" t="s">
        <v>647</v>
      </c>
      <c r="E201" s="11">
        <v>6351.18</v>
      </c>
      <c r="F201" s="10" t="b">
        <f>COUNTIF(tblBank[Reference],tblLedger[[#This Row],[Reference]])&gt;0</f>
        <v>1</v>
      </c>
      <c r="G201" s="10" t="str">
        <f>IFERROR(INDEX(tblBank[BankId],MATCH(tblLedger[[#This Row],[Entry]],tblBank[MatchedEntry],0)),"")</f>
        <v>B194</v>
      </c>
      <c r="H201" s="10" t="str">
        <f>IF(tblLedger[[#This Row],[BankId]]&lt;&gt;"","Matched",IF(tblLedger[[#This Row],[Amount]]&gt;0,"Deposit in transit","Outstanding payment"))</f>
        <v>Matched</v>
      </c>
      <c r="I201" s="10" t="str">
        <f>IF(tblLedger[[#This Row],[Status]]="Matched","",IF(tblLedger[[#This Row],[Status]]="Deposit in transit","Check it is credited on the January statement","Check it is debited on the January statement"))</f>
        <v/>
      </c>
      <c r="J201" s="10" t="str">
        <f>IF(tblLedger[[#This Row],[Status]]="Matched","",COUNTIF(tblBank[Status],"&lt;&gt;Matched")+COUNTIF(INDEX(tblLedger[Status],1):tblLedger[[#This Row],[Status]],"&lt;&gt;Matched"))</f>
        <v/>
      </c>
    </row>
    <row r="202" spans="1:10" x14ac:dyDescent="0.25">
      <c r="A202" s="10" t="s">
        <v>648</v>
      </c>
      <c r="B202" s="6">
        <v>46020</v>
      </c>
      <c r="C202" s="10" t="s">
        <v>649</v>
      </c>
      <c r="D202" s="10" t="s">
        <v>650</v>
      </c>
      <c r="E202" s="11">
        <v>1945.51</v>
      </c>
      <c r="F202" s="10" t="b">
        <f>COUNTIF(tblBank[Reference],tblLedger[[#This Row],[Reference]])&gt;0</f>
        <v>1</v>
      </c>
      <c r="G202" s="10" t="str">
        <f>IFERROR(INDEX(tblBank[BankId],MATCH(tblLedger[[#This Row],[Entry]],tblBank[MatchedEntry],0)),"")</f>
        <v>B206</v>
      </c>
      <c r="H202" s="10" t="str">
        <f>IF(tblLedger[[#This Row],[BankId]]&lt;&gt;"","Matched",IF(tblLedger[[#This Row],[Amount]]&gt;0,"Deposit in transit","Outstanding payment"))</f>
        <v>Matched</v>
      </c>
      <c r="I202" s="10" t="str">
        <f>IF(tblLedger[[#This Row],[Status]]="Matched","",IF(tblLedger[[#This Row],[Status]]="Deposit in transit","Check it is credited on the January statement","Check it is debited on the January statement"))</f>
        <v/>
      </c>
      <c r="J202" s="10" t="str">
        <f>IF(tblLedger[[#This Row],[Status]]="Matched","",COUNTIF(tblBank[Status],"&lt;&gt;Matched")+COUNTIF(INDEX(tblLedger[Status],1):tblLedger[[#This Row],[Status]],"&lt;&gt;Matched"))</f>
        <v/>
      </c>
    </row>
    <row r="203" spans="1:10" x14ac:dyDescent="0.25">
      <c r="A203" s="10" t="s">
        <v>651</v>
      </c>
      <c r="B203" s="6">
        <v>46020</v>
      </c>
      <c r="C203" s="10" t="s">
        <v>652</v>
      </c>
      <c r="D203" s="10" t="s">
        <v>653</v>
      </c>
      <c r="E203" s="11">
        <v>546.01</v>
      </c>
      <c r="F203" s="10" t="b">
        <f>COUNTIF(tblBank[Reference],tblLedger[[#This Row],[Reference]])&gt;0</f>
        <v>1</v>
      </c>
      <c r="G203" s="10" t="str">
        <f>IFERROR(INDEX(tblBank[BankId],MATCH(tblLedger[[#This Row],[Entry]],tblBank[MatchedEntry],0)),"")</f>
        <v>B210</v>
      </c>
      <c r="H203" s="10" t="str">
        <f>IF(tblLedger[[#This Row],[BankId]]&lt;&gt;"","Matched",IF(tblLedger[[#This Row],[Amount]]&gt;0,"Deposit in transit","Outstanding payment"))</f>
        <v>Matched</v>
      </c>
      <c r="I203" s="10" t="str">
        <f>IF(tblLedger[[#This Row],[Status]]="Matched","",IF(tblLedger[[#This Row],[Status]]="Deposit in transit","Check it is credited on the January statement","Check it is debited on the January statement"))</f>
        <v/>
      </c>
      <c r="J203" s="10" t="str">
        <f>IF(tblLedger[[#This Row],[Status]]="Matched","",COUNTIF(tblBank[Status],"&lt;&gt;Matched")+COUNTIF(INDEX(tblLedger[Status],1):tblLedger[[#This Row],[Status]],"&lt;&gt;Matched"))</f>
        <v/>
      </c>
    </row>
    <row r="204" spans="1:10" x14ac:dyDescent="0.25">
      <c r="A204" s="10" t="s">
        <v>654</v>
      </c>
      <c r="B204" s="6">
        <v>46020</v>
      </c>
      <c r="C204" s="10" t="s">
        <v>655</v>
      </c>
      <c r="D204" s="10" t="s">
        <v>656</v>
      </c>
      <c r="E204" s="11">
        <v>2707.88</v>
      </c>
      <c r="F204" s="10" t="b">
        <f>COUNTIF(tblBank[Reference],tblLedger[[#This Row],[Reference]])&gt;0</f>
        <v>1</v>
      </c>
      <c r="G204" s="10" t="str">
        <f>IFERROR(INDEX(tblBank[BankId],MATCH(tblLedger[[#This Row],[Entry]],tblBank[MatchedEntry],0)),"")</f>
        <v>B203</v>
      </c>
      <c r="H204" s="10" t="str">
        <f>IF(tblLedger[[#This Row],[BankId]]&lt;&gt;"","Matched",IF(tblLedger[[#This Row],[Amount]]&gt;0,"Deposit in transit","Outstanding payment"))</f>
        <v>Matched</v>
      </c>
      <c r="I204" s="10" t="str">
        <f>IF(tblLedger[[#This Row],[Status]]="Matched","",IF(tblLedger[[#This Row],[Status]]="Deposit in transit","Check it is credited on the January statement","Check it is debited on the January statement"))</f>
        <v/>
      </c>
      <c r="J204" s="10" t="str">
        <f>IF(tblLedger[[#This Row],[Status]]="Matched","",COUNTIF(tblBank[Status],"&lt;&gt;Matched")+COUNTIF(INDEX(tblLedger[Status],1):tblLedger[[#This Row],[Status]],"&lt;&gt;Matched"))</f>
        <v/>
      </c>
    </row>
    <row r="205" spans="1:10" x14ac:dyDescent="0.25">
      <c r="A205" s="10" t="s">
        <v>657</v>
      </c>
      <c r="B205" s="6">
        <v>46020</v>
      </c>
      <c r="C205" s="10" t="s">
        <v>658</v>
      </c>
      <c r="D205" s="10" t="s">
        <v>659</v>
      </c>
      <c r="E205" s="11">
        <v>-912.36</v>
      </c>
      <c r="F205" s="10" t="b">
        <f>COUNTIF(tblBank[Reference],tblLedger[[#This Row],[Reference]])&gt;0</f>
        <v>0</v>
      </c>
      <c r="G205" s="10" t="str">
        <f>IFERROR(INDEX(tblBank[BankId],MATCH(tblLedger[[#This Row],[Entry]],tblBank[MatchedEntry],0)),"")</f>
        <v/>
      </c>
      <c r="H205" s="10" t="str">
        <f>IF(tblLedger[[#This Row],[BankId]]&lt;&gt;"","Matched",IF(tblLedger[[#This Row],[Amount]]&gt;0,"Deposit in transit","Outstanding payment"))</f>
        <v>Outstanding payment</v>
      </c>
      <c r="I205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05" s="10">
        <f>IF(tblLedger[[#This Row],[Status]]="Matched","",COUNTIF(tblBank[Status],"&lt;&gt;Matched")+COUNTIF(INDEX(tblLedger[Status],1):tblLedger[[#This Row],[Status]],"&lt;&gt;Matched"))</f>
        <v>8</v>
      </c>
    </row>
    <row r="206" spans="1:10" x14ac:dyDescent="0.25">
      <c r="A206" s="10" t="s">
        <v>660</v>
      </c>
      <c r="B206" s="6">
        <v>46020</v>
      </c>
      <c r="C206" s="10" t="s">
        <v>661</v>
      </c>
      <c r="D206" s="10" t="s">
        <v>662</v>
      </c>
      <c r="E206" s="11">
        <v>3383.44</v>
      </c>
      <c r="F206" s="10" t="b">
        <f>COUNTIF(tblBank[Reference],tblLedger[[#This Row],[Reference]])&gt;0</f>
        <v>1</v>
      </c>
      <c r="G206" s="10" t="str">
        <f>IFERROR(INDEX(tblBank[BankId],MATCH(tblLedger[[#This Row],[Entry]],tblBank[MatchedEntry],0)),"")</f>
        <v>B209</v>
      </c>
      <c r="H206" s="10" t="str">
        <f>IF(tblLedger[[#This Row],[BankId]]&lt;&gt;"","Matched",IF(tblLedger[[#This Row],[Amount]]&gt;0,"Deposit in transit","Outstanding payment"))</f>
        <v>Matched</v>
      </c>
      <c r="I206" s="10" t="str">
        <f>IF(tblLedger[[#This Row],[Status]]="Matched","",IF(tblLedger[[#This Row],[Status]]="Deposit in transit","Check it is credited on the January statement","Check it is debited on the January statement"))</f>
        <v/>
      </c>
      <c r="J206" s="10" t="str">
        <f>IF(tblLedger[[#This Row],[Status]]="Matched","",COUNTIF(tblBank[Status],"&lt;&gt;Matched")+COUNTIF(INDEX(tblLedger[Status],1):tblLedger[[#This Row],[Status]],"&lt;&gt;Matched"))</f>
        <v/>
      </c>
    </row>
    <row r="207" spans="1:10" x14ac:dyDescent="0.25">
      <c r="A207" s="10" t="s">
        <v>663</v>
      </c>
      <c r="B207" s="6">
        <v>46020</v>
      </c>
      <c r="C207" s="10" t="s">
        <v>664</v>
      </c>
      <c r="D207" s="10" t="s">
        <v>665</v>
      </c>
      <c r="E207" s="11">
        <v>3581.98</v>
      </c>
      <c r="F207" s="10" t="b">
        <f>COUNTIF(tblBank[Reference],tblLedger[[#This Row],[Reference]])&gt;0</f>
        <v>1</v>
      </c>
      <c r="G207" s="10" t="str">
        <f>IFERROR(INDEX(tblBank[BankId],MATCH(tblLedger[[#This Row],[Entry]],tblBank[MatchedEntry],0)),"")</f>
        <v>B213</v>
      </c>
      <c r="H207" s="10" t="str">
        <f>IF(tblLedger[[#This Row],[BankId]]&lt;&gt;"","Matched",IF(tblLedger[[#This Row],[Amount]]&gt;0,"Deposit in transit","Outstanding payment"))</f>
        <v>Matched</v>
      </c>
      <c r="I207" s="10" t="str">
        <f>IF(tblLedger[[#This Row],[Status]]="Matched","",IF(tblLedger[[#This Row],[Status]]="Deposit in transit","Check it is credited on the January statement","Check it is debited on the January statement"))</f>
        <v/>
      </c>
      <c r="J207" s="10" t="str">
        <f>IF(tblLedger[[#This Row],[Status]]="Matched","",COUNTIF(tblBank[Status],"&lt;&gt;Matched")+COUNTIF(INDEX(tblLedger[Status],1):tblLedger[[#This Row],[Status]],"&lt;&gt;Matched"))</f>
        <v/>
      </c>
    </row>
    <row r="208" spans="1:10" x14ac:dyDescent="0.25">
      <c r="A208" s="10" t="s">
        <v>666</v>
      </c>
      <c r="B208" s="6">
        <v>46020</v>
      </c>
      <c r="C208" s="10" t="s">
        <v>667</v>
      </c>
      <c r="D208" s="10" t="s">
        <v>668</v>
      </c>
      <c r="E208" s="11">
        <v>2278.8000000000002</v>
      </c>
      <c r="F208" s="10" t="b">
        <f>COUNTIF(tblBank[Reference],tblLedger[[#This Row],[Reference]])&gt;0</f>
        <v>1</v>
      </c>
      <c r="G208" s="10" t="str">
        <f>IFERROR(INDEX(tblBank[BankId],MATCH(tblLedger[[#This Row],[Entry]],tblBank[MatchedEntry],0)),"")</f>
        <v>B204</v>
      </c>
      <c r="H208" s="10" t="str">
        <f>IF(tblLedger[[#This Row],[BankId]]&lt;&gt;"","Matched",IF(tblLedger[[#This Row],[Amount]]&gt;0,"Deposit in transit","Outstanding payment"))</f>
        <v>Matched</v>
      </c>
      <c r="I208" s="10" t="str">
        <f>IF(tblLedger[[#This Row],[Status]]="Matched","",IF(tblLedger[[#This Row],[Status]]="Deposit in transit","Check it is credited on the January statement","Check it is debited on the January statement"))</f>
        <v/>
      </c>
      <c r="J208" s="10" t="str">
        <f>IF(tblLedger[[#This Row],[Status]]="Matched","",COUNTIF(tblBank[Status],"&lt;&gt;Matched")+COUNTIF(INDEX(tblLedger[Status],1):tblLedger[[#This Row],[Status]],"&lt;&gt;Matched"))</f>
        <v/>
      </c>
    </row>
    <row r="209" spans="1:10" x14ac:dyDescent="0.25">
      <c r="A209" s="10" t="s">
        <v>669</v>
      </c>
      <c r="B209" s="6">
        <v>46020</v>
      </c>
      <c r="C209" s="10" t="s">
        <v>670</v>
      </c>
      <c r="D209" s="10" t="s">
        <v>671</v>
      </c>
      <c r="E209" s="11">
        <v>934.69</v>
      </c>
      <c r="F209" s="10" t="b">
        <f>COUNTIF(tblBank[Reference],tblLedger[[#This Row],[Reference]])&gt;0</f>
        <v>0</v>
      </c>
      <c r="G209" s="10" t="str">
        <f>IFERROR(INDEX(tblBank[BankId],MATCH(tblLedger[[#This Row],[Entry]],tblBank[MatchedEntry],0)),"")</f>
        <v>B211</v>
      </c>
      <c r="H209" s="10" t="str">
        <f>IF(tblLedger[[#This Row],[BankId]]&lt;&gt;"","Matched",IF(tblLedger[[#This Row],[Amount]]&gt;0,"Deposit in transit","Outstanding payment"))</f>
        <v>Matched</v>
      </c>
      <c r="I209" s="10" t="str">
        <f>IF(tblLedger[[#This Row],[Status]]="Matched","",IF(tblLedger[[#This Row],[Status]]="Deposit in transit","Check it is credited on the January statement","Check it is debited on the January statement"))</f>
        <v/>
      </c>
      <c r="J209" s="10" t="str">
        <f>IF(tblLedger[[#This Row],[Status]]="Matched","",COUNTIF(tblBank[Status],"&lt;&gt;Matched")+COUNTIF(INDEX(tblLedger[Status],1):tblLedger[[#This Row],[Status]],"&lt;&gt;Matched"))</f>
        <v/>
      </c>
    </row>
    <row r="210" spans="1:10" x14ac:dyDescent="0.25">
      <c r="A210" s="10" t="s">
        <v>672</v>
      </c>
      <c r="B210" s="6">
        <v>46020</v>
      </c>
      <c r="C210" s="10" t="s">
        <v>673</v>
      </c>
      <c r="D210" s="10" t="s">
        <v>674</v>
      </c>
      <c r="E210" s="11">
        <v>59.17</v>
      </c>
      <c r="F210" s="10" t="b">
        <f>COUNTIF(tblBank[Reference],tblLedger[[#This Row],[Reference]])&gt;0</f>
        <v>1</v>
      </c>
      <c r="G210" s="10" t="str">
        <f>IFERROR(INDEX(tblBank[BankId],MATCH(tblLedger[[#This Row],[Entry]],tblBank[MatchedEntry],0)),"")</f>
        <v>B205</v>
      </c>
      <c r="H210" s="10" t="str">
        <f>IF(tblLedger[[#This Row],[BankId]]&lt;&gt;"","Matched",IF(tblLedger[[#This Row],[Amount]]&gt;0,"Deposit in transit","Outstanding payment"))</f>
        <v>Matched</v>
      </c>
      <c r="I210" s="10" t="str">
        <f>IF(tblLedger[[#This Row],[Status]]="Matched","",IF(tblLedger[[#This Row],[Status]]="Deposit in transit","Check it is credited on the January statement","Check it is debited on the January statement"))</f>
        <v/>
      </c>
      <c r="J210" s="10" t="str">
        <f>IF(tblLedger[[#This Row],[Status]]="Matched","",COUNTIF(tblBank[Status],"&lt;&gt;Matched")+COUNTIF(INDEX(tblLedger[Status],1):tblLedger[[#This Row],[Status]],"&lt;&gt;Matched"))</f>
        <v/>
      </c>
    </row>
    <row r="211" spans="1:10" x14ac:dyDescent="0.25">
      <c r="A211" s="10" t="s">
        <v>675</v>
      </c>
      <c r="B211" s="6">
        <v>46020</v>
      </c>
      <c r="C211" s="10" t="s">
        <v>676</v>
      </c>
      <c r="D211" s="10" t="s">
        <v>677</v>
      </c>
      <c r="E211" s="11">
        <v>-2377.44</v>
      </c>
      <c r="F211" s="10" t="b">
        <f>COUNTIF(tblBank[Reference],tblLedger[[#This Row],[Reference]])&gt;0</f>
        <v>1</v>
      </c>
      <c r="G211" s="10" t="str">
        <f>IFERROR(INDEX(tblBank[BankId],MATCH(tblLedger[[#This Row],[Entry]],tblBank[MatchedEntry],0)),"")</f>
        <v>B217</v>
      </c>
      <c r="H211" s="10" t="str">
        <f>IF(tblLedger[[#This Row],[BankId]]&lt;&gt;"","Matched",IF(tblLedger[[#This Row],[Amount]]&gt;0,"Deposit in transit","Outstanding payment"))</f>
        <v>Matched</v>
      </c>
      <c r="I211" s="10" t="str">
        <f>IF(tblLedger[[#This Row],[Status]]="Matched","",IF(tblLedger[[#This Row],[Status]]="Deposit in transit","Check it is credited on the January statement","Check it is debited on the January statement"))</f>
        <v/>
      </c>
      <c r="J211" s="10" t="str">
        <f>IF(tblLedger[[#This Row],[Status]]="Matched","",COUNTIF(tblBank[Status],"&lt;&gt;Matched")+COUNTIF(INDEX(tblLedger[Status],1):tblLedger[[#This Row],[Status]],"&lt;&gt;Matched"))</f>
        <v/>
      </c>
    </row>
    <row r="212" spans="1:10" x14ac:dyDescent="0.25">
      <c r="A212" s="10" t="s">
        <v>678</v>
      </c>
      <c r="B212" s="6">
        <v>46020</v>
      </c>
      <c r="C212" s="10" t="s">
        <v>679</v>
      </c>
      <c r="D212" s="10" t="s">
        <v>680</v>
      </c>
      <c r="E212" s="11">
        <v>974.48</v>
      </c>
      <c r="F212" s="10" t="b">
        <f>COUNTIF(tblBank[Reference],tblLedger[[#This Row],[Reference]])&gt;0</f>
        <v>1</v>
      </c>
      <c r="G212" s="10" t="str">
        <f>IFERROR(INDEX(tblBank[BankId],MATCH(tblLedger[[#This Row],[Entry]],tblBank[MatchedEntry],0)),"")</f>
        <v>B215</v>
      </c>
      <c r="H212" s="10" t="str">
        <f>IF(tblLedger[[#This Row],[BankId]]&lt;&gt;"","Matched",IF(tblLedger[[#This Row],[Amount]]&gt;0,"Deposit in transit","Outstanding payment"))</f>
        <v>Matched</v>
      </c>
      <c r="I212" s="10" t="str">
        <f>IF(tblLedger[[#This Row],[Status]]="Matched","",IF(tblLedger[[#This Row],[Status]]="Deposit in transit","Check it is credited on the January statement","Check it is debited on the January statement"))</f>
        <v/>
      </c>
      <c r="J212" s="10" t="str">
        <f>IF(tblLedger[[#This Row],[Status]]="Matched","",COUNTIF(tblBank[Status],"&lt;&gt;Matched")+COUNTIF(INDEX(tblLedger[Status],1):tblLedger[[#This Row],[Status]],"&lt;&gt;Matched"))</f>
        <v/>
      </c>
    </row>
    <row r="213" spans="1:10" x14ac:dyDescent="0.25">
      <c r="A213" s="10" t="s">
        <v>681</v>
      </c>
      <c r="B213" s="6">
        <v>46020</v>
      </c>
      <c r="C213" s="10" t="s">
        <v>682</v>
      </c>
      <c r="D213" s="10" t="s">
        <v>683</v>
      </c>
      <c r="E213" s="11">
        <v>1272.97</v>
      </c>
      <c r="F213" s="10" t="b">
        <f>COUNTIF(tblBank[Reference],tblLedger[[#This Row],[Reference]])&gt;0</f>
        <v>1</v>
      </c>
      <c r="G213" s="10" t="str">
        <f>IFERROR(INDEX(tblBank[BankId],MATCH(tblLedger[[#This Row],[Entry]],tblBank[MatchedEntry],0)),"")</f>
        <v>B214</v>
      </c>
      <c r="H213" s="10" t="str">
        <f>IF(tblLedger[[#This Row],[BankId]]&lt;&gt;"","Matched",IF(tblLedger[[#This Row],[Amount]]&gt;0,"Deposit in transit","Outstanding payment"))</f>
        <v>Matched</v>
      </c>
      <c r="I213" s="10" t="str">
        <f>IF(tblLedger[[#This Row],[Status]]="Matched","",IF(tblLedger[[#This Row],[Status]]="Deposit in transit","Check it is credited on the January statement","Check it is debited on the January statement"))</f>
        <v/>
      </c>
      <c r="J213" s="10" t="str">
        <f>IF(tblLedger[[#This Row],[Status]]="Matched","",COUNTIF(tblBank[Status],"&lt;&gt;Matched")+COUNTIF(INDEX(tblLedger[Status],1):tblLedger[[#This Row],[Status]],"&lt;&gt;Matched"))</f>
        <v/>
      </c>
    </row>
    <row r="214" spans="1:10" x14ac:dyDescent="0.25">
      <c r="A214" s="10" t="s">
        <v>684</v>
      </c>
      <c r="B214" s="6">
        <v>46020</v>
      </c>
      <c r="C214" s="10" t="s">
        <v>685</v>
      </c>
      <c r="D214" s="10" t="s">
        <v>686</v>
      </c>
      <c r="E214" s="11">
        <v>-1020.74</v>
      </c>
      <c r="F214" s="10" t="b">
        <f>COUNTIF(tblBank[Reference],tblLedger[[#This Row],[Reference]])&gt;0</f>
        <v>0</v>
      </c>
      <c r="G214" s="10" t="str">
        <f>IFERROR(INDEX(tblBank[BankId],MATCH(tblLedger[[#This Row],[Entry]],tblBank[MatchedEntry],0)),"")</f>
        <v/>
      </c>
      <c r="H214" s="10" t="str">
        <f>IF(tblLedger[[#This Row],[BankId]]&lt;&gt;"","Matched",IF(tblLedger[[#This Row],[Amount]]&gt;0,"Deposit in transit","Outstanding payment"))</f>
        <v>Outstanding payment</v>
      </c>
      <c r="I214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14" s="10">
        <f>IF(tblLedger[[#This Row],[Status]]="Matched","",COUNTIF(tblBank[Status],"&lt;&gt;Matched")+COUNTIF(INDEX(tblLedger[Status],1):tblLedger[[#This Row],[Status]],"&lt;&gt;Matched"))</f>
        <v>9</v>
      </c>
    </row>
    <row r="215" spans="1:10" x14ac:dyDescent="0.25">
      <c r="A215" s="10" t="s">
        <v>687</v>
      </c>
      <c r="B215" s="6">
        <v>46020</v>
      </c>
      <c r="C215" s="10" t="s">
        <v>688</v>
      </c>
      <c r="D215" s="10" t="s">
        <v>689</v>
      </c>
      <c r="E215" s="11">
        <v>334.69</v>
      </c>
      <c r="F215" s="10" t="b">
        <f>COUNTIF(tblBank[Reference],tblLedger[[#This Row],[Reference]])&gt;0</f>
        <v>1</v>
      </c>
      <c r="G215" s="10" t="str">
        <f>IFERROR(INDEX(tblBank[BankId],MATCH(tblLedger[[#This Row],[Entry]],tblBank[MatchedEntry],0)),"")</f>
        <v>B216</v>
      </c>
      <c r="H215" s="10" t="str">
        <f>IF(tblLedger[[#This Row],[BankId]]&lt;&gt;"","Matched",IF(tblLedger[[#This Row],[Amount]]&gt;0,"Deposit in transit","Outstanding payment"))</f>
        <v>Matched</v>
      </c>
      <c r="I215" s="10" t="str">
        <f>IF(tblLedger[[#This Row],[Status]]="Matched","",IF(tblLedger[[#This Row],[Status]]="Deposit in transit","Check it is credited on the January statement","Check it is debited on the January statement"))</f>
        <v/>
      </c>
      <c r="J215" s="10" t="str">
        <f>IF(tblLedger[[#This Row],[Status]]="Matched","",COUNTIF(tblBank[Status],"&lt;&gt;Matched")+COUNTIF(INDEX(tblLedger[Status],1):tblLedger[[#This Row],[Status]],"&lt;&gt;Matched"))</f>
        <v/>
      </c>
    </row>
    <row r="216" spans="1:10" x14ac:dyDescent="0.25">
      <c r="A216" s="10" t="s">
        <v>690</v>
      </c>
      <c r="B216" s="6">
        <v>46020</v>
      </c>
      <c r="C216" s="10" t="s">
        <v>691</v>
      </c>
      <c r="D216" s="10" t="s">
        <v>692</v>
      </c>
      <c r="E216" s="11">
        <v>2719.31</v>
      </c>
      <c r="F216" s="10" t="b">
        <f>COUNTIF(tblBank[Reference],tblLedger[[#This Row],[Reference]])&gt;0</f>
        <v>1</v>
      </c>
      <c r="G216" s="10" t="str">
        <f>IFERROR(INDEX(tblBank[BankId],MATCH(tblLedger[[#This Row],[Entry]],tblBank[MatchedEntry],0)),"")</f>
        <v>B208</v>
      </c>
      <c r="H216" s="10" t="str">
        <f>IF(tblLedger[[#This Row],[BankId]]&lt;&gt;"","Matched",IF(tblLedger[[#This Row],[Amount]]&gt;0,"Deposit in transit","Outstanding payment"))</f>
        <v>Matched</v>
      </c>
      <c r="I216" s="10" t="str">
        <f>IF(tblLedger[[#This Row],[Status]]="Matched","",IF(tblLedger[[#This Row],[Status]]="Deposit in transit","Check it is credited on the January statement","Check it is debited on the January statement"))</f>
        <v/>
      </c>
      <c r="J216" s="10" t="str">
        <f>IF(tblLedger[[#This Row],[Status]]="Matched","",COUNTIF(tblBank[Status],"&lt;&gt;Matched")+COUNTIF(INDEX(tblLedger[Status],1):tblLedger[[#This Row],[Status]],"&lt;&gt;Matched"))</f>
        <v/>
      </c>
    </row>
    <row r="217" spans="1:10" x14ac:dyDescent="0.25">
      <c r="A217" s="10" t="s">
        <v>693</v>
      </c>
      <c r="B217" s="6">
        <v>46020</v>
      </c>
      <c r="C217" s="10" t="s">
        <v>694</v>
      </c>
      <c r="D217" s="10" t="s">
        <v>695</v>
      </c>
      <c r="E217" s="11">
        <v>-1608.4</v>
      </c>
      <c r="F217" s="10" t="b">
        <f>COUNTIF(tblBank[Reference],tblLedger[[#This Row],[Reference]])&gt;0</f>
        <v>0</v>
      </c>
      <c r="G217" s="10" t="str">
        <f>IFERROR(INDEX(tblBank[BankId],MATCH(tblLedger[[#This Row],[Entry]],tblBank[MatchedEntry],0)),"")</f>
        <v/>
      </c>
      <c r="H217" s="10" t="str">
        <f>IF(tblLedger[[#This Row],[BankId]]&lt;&gt;"","Matched",IF(tblLedger[[#This Row],[Amount]]&gt;0,"Deposit in transit","Outstanding payment"))</f>
        <v>Outstanding payment</v>
      </c>
      <c r="I217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17" s="10">
        <f>IF(tblLedger[[#This Row],[Status]]="Matched","",COUNTIF(tblBank[Status],"&lt;&gt;Matched")+COUNTIF(INDEX(tblLedger[Status],1):tblLedger[[#This Row],[Status]],"&lt;&gt;Matched"))</f>
        <v>10</v>
      </c>
    </row>
    <row r="218" spans="1:10" x14ac:dyDescent="0.25">
      <c r="A218" s="10" t="s">
        <v>696</v>
      </c>
      <c r="B218" s="6">
        <v>46020</v>
      </c>
      <c r="C218" s="10" t="s">
        <v>697</v>
      </c>
      <c r="D218" s="10" t="s">
        <v>698</v>
      </c>
      <c r="E218" s="11">
        <v>1060.1500000000001</v>
      </c>
      <c r="F218" s="10" t="b">
        <f>COUNTIF(tblBank[Reference],tblLedger[[#This Row],[Reference]])&gt;0</f>
        <v>1</v>
      </c>
      <c r="G218" s="10" t="str">
        <f>IFERROR(INDEX(tblBank[BankId],MATCH(tblLedger[[#This Row],[Entry]],tblBank[MatchedEntry],0)),"")</f>
        <v>B212</v>
      </c>
      <c r="H218" s="10" t="str">
        <f>IF(tblLedger[[#This Row],[BankId]]&lt;&gt;"","Matched",IF(tblLedger[[#This Row],[Amount]]&gt;0,"Deposit in transit","Outstanding payment"))</f>
        <v>Matched</v>
      </c>
      <c r="I218" s="10" t="str">
        <f>IF(tblLedger[[#This Row],[Status]]="Matched","",IF(tblLedger[[#This Row],[Status]]="Deposit in transit","Check it is credited on the January statement","Check it is debited on the January statement"))</f>
        <v/>
      </c>
      <c r="J218" s="10" t="str">
        <f>IF(tblLedger[[#This Row],[Status]]="Matched","",COUNTIF(tblBank[Status],"&lt;&gt;Matched")+COUNTIF(INDEX(tblLedger[Status],1):tblLedger[[#This Row],[Status]],"&lt;&gt;Matched"))</f>
        <v/>
      </c>
    </row>
    <row r="219" spans="1:10" x14ac:dyDescent="0.25">
      <c r="A219" s="10" t="s">
        <v>699</v>
      </c>
      <c r="B219" s="6">
        <v>46020</v>
      </c>
      <c r="C219" s="10" t="s">
        <v>700</v>
      </c>
      <c r="D219" s="10" t="s">
        <v>701</v>
      </c>
      <c r="E219" s="11">
        <v>970.92</v>
      </c>
      <c r="F219" s="10" t="b">
        <f>COUNTIF(tblBank[Reference],tblLedger[[#This Row],[Reference]])&gt;0</f>
        <v>1</v>
      </c>
      <c r="G219" s="10" t="str">
        <f>IFERROR(INDEX(tblBank[BankId],MATCH(tblLedger[[#This Row],[Entry]],tblBank[MatchedEntry],0)),"")</f>
        <v>B207</v>
      </c>
      <c r="H219" s="10" t="str">
        <f>IF(tblLedger[[#This Row],[BankId]]&lt;&gt;"","Matched",IF(tblLedger[[#This Row],[Amount]]&gt;0,"Deposit in transit","Outstanding payment"))</f>
        <v>Matched</v>
      </c>
      <c r="I219" s="10" t="str">
        <f>IF(tblLedger[[#This Row],[Status]]="Matched","",IF(tblLedger[[#This Row],[Status]]="Deposit in transit","Check it is credited on the January statement","Check it is debited on the January statement"))</f>
        <v/>
      </c>
      <c r="J219" s="10" t="str">
        <f>IF(tblLedger[[#This Row],[Status]]="Matched","",COUNTIF(tblBank[Status],"&lt;&gt;Matched")+COUNTIF(INDEX(tblLedger[Status],1):tblLedger[[#This Row],[Status]],"&lt;&gt;Matched"))</f>
        <v/>
      </c>
    </row>
    <row r="220" spans="1:10" x14ac:dyDescent="0.25">
      <c r="A220" s="10" t="s">
        <v>702</v>
      </c>
      <c r="B220" s="6">
        <v>46021</v>
      </c>
      <c r="C220" s="10" t="s">
        <v>703</v>
      </c>
      <c r="D220" s="10" t="s">
        <v>704</v>
      </c>
      <c r="E220" s="11">
        <v>-261.8</v>
      </c>
      <c r="F220" s="10" t="b">
        <f>COUNTIF(tblBank[Reference],tblLedger[[#This Row],[Reference]])&gt;0</f>
        <v>0</v>
      </c>
      <c r="G220" s="10" t="str">
        <f>IFERROR(INDEX(tblBank[BankId],MATCH(tblLedger[[#This Row],[Entry]],tblBank[MatchedEntry],0)),"")</f>
        <v/>
      </c>
      <c r="H220" s="10" t="str">
        <f>IF(tblLedger[[#This Row],[BankId]]&lt;&gt;"","Matched",IF(tblLedger[[#This Row],[Amount]]&gt;0,"Deposit in transit","Outstanding payment"))</f>
        <v>Outstanding payment</v>
      </c>
      <c r="I220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20" s="10">
        <f>IF(tblLedger[[#This Row],[Status]]="Matched","",COUNTIF(tblBank[Status],"&lt;&gt;Matched")+COUNTIF(INDEX(tblLedger[Status],1):tblLedger[[#This Row],[Status]],"&lt;&gt;Matched"))</f>
        <v>11</v>
      </c>
    </row>
    <row r="221" spans="1:10" x14ac:dyDescent="0.25">
      <c r="A221" s="10" t="s">
        <v>705</v>
      </c>
      <c r="B221" s="6">
        <v>46021</v>
      </c>
      <c r="C221" s="10" t="s">
        <v>706</v>
      </c>
      <c r="D221" s="10" t="s">
        <v>707</v>
      </c>
      <c r="E221" s="11">
        <v>22942.52</v>
      </c>
      <c r="F221" s="10" t="b">
        <f>COUNTIF(tblBank[Reference],tblLedger[[#This Row],[Reference]])&gt;0</f>
        <v>1</v>
      </c>
      <c r="G221" s="10" t="str">
        <f>IFERROR(INDEX(tblBank[BankId],MATCH(tblLedger[[#This Row],[Entry]],tblBank[MatchedEntry],0)),"")</f>
        <v>B222</v>
      </c>
      <c r="H221" s="10" t="str">
        <f>IF(tblLedger[[#This Row],[BankId]]&lt;&gt;"","Matched",IF(tblLedger[[#This Row],[Amount]]&gt;0,"Deposit in transit","Outstanding payment"))</f>
        <v>Matched</v>
      </c>
      <c r="I221" s="10" t="str">
        <f>IF(tblLedger[[#This Row],[Status]]="Matched","",IF(tblLedger[[#This Row],[Status]]="Deposit in transit","Check it is credited on the January statement","Check it is debited on the January statement"))</f>
        <v/>
      </c>
      <c r="J221" s="10" t="str">
        <f>IF(tblLedger[[#This Row],[Status]]="Matched","",COUNTIF(tblBank[Status],"&lt;&gt;Matched")+COUNTIF(INDEX(tblLedger[Status],1):tblLedger[[#This Row],[Status]],"&lt;&gt;Matched"))</f>
        <v/>
      </c>
    </row>
    <row r="222" spans="1:10" x14ac:dyDescent="0.25">
      <c r="A222" s="10" t="s">
        <v>708</v>
      </c>
      <c r="B222" s="6">
        <v>46021</v>
      </c>
      <c r="C222" s="10" t="s">
        <v>709</v>
      </c>
      <c r="D222" s="10" t="s">
        <v>710</v>
      </c>
      <c r="E222" s="11">
        <v>-503.65</v>
      </c>
      <c r="F222" s="10" t="b">
        <f>COUNTIF(tblBank[Reference],tblLedger[[#This Row],[Reference]])&gt;0</f>
        <v>0</v>
      </c>
      <c r="G222" s="10" t="str">
        <f>IFERROR(INDEX(tblBank[BankId],MATCH(tblLedger[[#This Row],[Entry]],tblBank[MatchedEntry],0)),"")</f>
        <v/>
      </c>
      <c r="H222" s="10" t="str">
        <f>IF(tblLedger[[#This Row],[BankId]]&lt;&gt;"","Matched",IF(tblLedger[[#This Row],[Amount]]&gt;0,"Deposit in transit","Outstanding payment"))</f>
        <v>Outstanding payment</v>
      </c>
      <c r="I222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22" s="10">
        <f>IF(tblLedger[[#This Row],[Status]]="Matched","",COUNTIF(tblBank[Status],"&lt;&gt;Matched")+COUNTIF(INDEX(tblLedger[Status],1):tblLedger[[#This Row],[Status]],"&lt;&gt;Matched"))</f>
        <v>12</v>
      </c>
    </row>
    <row r="223" spans="1:10" x14ac:dyDescent="0.25">
      <c r="A223" s="10" t="s">
        <v>711</v>
      </c>
      <c r="B223" s="6">
        <v>46021</v>
      </c>
      <c r="C223" s="10" t="s">
        <v>712</v>
      </c>
      <c r="D223" s="10" t="s">
        <v>713</v>
      </c>
      <c r="E223" s="11">
        <v>382.2</v>
      </c>
      <c r="F223" s="10" t="b">
        <f>COUNTIF(tblBank[Reference],tblLedger[[#This Row],[Reference]])&gt;0</f>
        <v>1</v>
      </c>
      <c r="G223" s="10" t="str">
        <f>IFERROR(INDEX(tblBank[BankId],MATCH(tblLedger[[#This Row],[Entry]],tblBank[MatchedEntry],0)),"")</f>
        <v>B220</v>
      </c>
      <c r="H223" s="10" t="str">
        <f>IF(tblLedger[[#This Row],[BankId]]&lt;&gt;"","Matched",IF(tblLedger[[#This Row],[Amount]]&gt;0,"Deposit in transit","Outstanding payment"))</f>
        <v>Matched</v>
      </c>
      <c r="I223" s="10" t="str">
        <f>IF(tblLedger[[#This Row],[Status]]="Matched","",IF(tblLedger[[#This Row],[Status]]="Deposit in transit","Check it is credited on the January statement","Check it is debited on the January statement"))</f>
        <v/>
      </c>
      <c r="J223" s="10" t="str">
        <f>IF(tblLedger[[#This Row],[Status]]="Matched","",COUNTIF(tblBank[Status],"&lt;&gt;Matched")+COUNTIF(INDEX(tblLedger[Status],1):tblLedger[[#This Row],[Status]],"&lt;&gt;Matched"))</f>
        <v/>
      </c>
    </row>
    <row r="224" spans="1:10" x14ac:dyDescent="0.25">
      <c r="A224" s="10" t="s">
        <v>714</v>
      </c>
      <c r="B224" s="6">
        <v>46021</v>
      </c>
      <c r="C224" s="10" t="s">
        <v>715</v>
      </c>
      <c r="D224" s="10" t="s">
        <v>716</v>
      </c>
      <c r="E224" s="11">
        <v>20003.3</v>
      </c>
      <c r="F224" s="10" t="b">
        <f>COUNTIF(tblBank[Reference],tblLedger[[#This Row],[Reference]])&gt;0</f>
        <v>1</v>
      </c>
      <c r="G224" s="10" t="str">
        <f>IFERROR(INDEX(tblBank[BankId],MATCH(tblLedger[[#This Row],[Entry]],tblBank[MatchedEntry],0)),"")</f>
        <v>B221</v>
      </c>
      <c r="H224" s="10" t="str">
        <f>IF(tblLedger[[#This Row],[BankId]]&lt;&gt;"","Matched",IF(tblLedger[[#This Row],[Amount]]&gt;0,"Deposit in transit","Outstanding payment"))</f>
        <v>Matched</v>
      </c>
      <c r="I224" s="10" t="str">
        <f>IF(tblLedger[[#This Row],[Status]]="Matched","",IF(tblLedger[[#This Row],[Status]]="Deposit in transit","Check it is credited on the January statement","Check it is debited on the January statement"))</f>
        <v/>
      </c>
      <c r="J224" s="10" t="str">
        <f>IF(tblLedger[[#This Row],[Status]]="Matched","",COUNTIF(tblBank[Status],"&lt;&gt;Matched")+COUNTIF(INDEX(tblLedger[Status],1):tblLedger[[#This Row],[Status]],"&lt;&gt;Matched"))</f>
        <v/>
      </c>
    </row>
    <row r="225" spans="1:10" x14ac:dyDescent="0.25">
      <c r="A225" s="10" t="s">
        <v>717</v>
      </c>
      <c r="B225" s="6">
        <v>46021</v>
      </c>
      <c r="C225" s="10" t="s">
        <v>718</v>
      </c>
      <c r="D225" s="10" t="s">
        <v>719</v>
      </c>
      <c r="E225" s="11">
        <v>-174.72</v>
      </c>
      <c r="F225" s="10" t="b">
        <f>COUNTIF(tblBank[Reference],tblLedger[[#This Row],[Reference]])&gt;0</f>
        <v>0</v>
      </c>
      <c r="G225" s="10" t="str">
        <f>IFERROR(INDEX(tblBank[BankId],MATCH(tblLedger[[#This Row],[Entry]],tblBank[MatchedEntry],0)),"")</f>
        <v/>
      </c>
      <c r="H225" s="10" t="str">
        <f>IF(tblLedger[[#This Row],[BankId]]&lt;&gt;"","Matched",IF(tblLedger[[#This Row],[Amount]]&gt;0,"Deposit in transit","Outstanding payment"))</f>
        <v>Outstanding payment</v>
      </c>
      <c r="I225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25" s="10">
        <f>IF(tblLedger[[#This Row],[Status]]="Matched","",COUNTIF(tblBank[Status],"&lt;&gt;Matched")+COUNTIF(INDEX(tblLedger[Status],1):tblLedger[[#This Row],[Status]],"&lt;&gt;Matched"))</f>
        <v>13</v>
      </c>
    </row>
    <row r="226" spans="1:10" x14ac:dyDescent="0.25">
      <c r="A226" s="10" t="s">
        <v>720</v>
      </c>
      <c r="B226" s="6">
        <v>46021</v>
      </c>
      <c r="C226" s="10" t="s">
        <v>721</v>
      </c>
      <c r="D226" s="10" t="s">
        <v>722</v>
      </c>
      <c r="E226" s="11">
        <v>219.97</v>
      </c>
      <c r="F226" s="10" t="b">
        <f>COUNTIF(tblBank[Reference],tblLedger[[#This Row],[Reference]])&gt;0</f>
        <v>1</v>
      </c>
      <c r="G226" s="10" t="str">
        <f>IFERROR(INDEX(tblBank[BankId],MATCH(tblLedger[[#This Row],[Entry]],tblBank[MatchedEntry],0)),"")</f>
        <v>B219</v>
      </c>
      <c r="H226" s="10" t="str">
        <f>IF(tblLedger[[#This Row],[BankId]]&lt;&gt;"","Matched",IF(tblLedger[[#This Row],[Amount]]&gt;0,"Deposit in transit","Outstanding payment"))</f>
        <v>Matched</v>
      </c>
      <c r="I226" s="10" t="str">
        <f>IF(tblLedger[[#This Row],[Status]]="Matched","",IF(tblLedger[[#This Row],[Status]]="Deposit in transit","Check it is credited on the January statement","Check it is debited on the January statement"))</f>
        <v/>
      </c>
      <c r="J226" s="10" t="str">
        <f>IF(tblLedger[[#This Row],[Status]]="Matched","",COUNTIF(tblBank[Status],"&lt;&gt;Matched")+COUNTIF(INDEX(tblLedger[Status],1):tblLedger[[#This Row],[Status]],"&lt;&gt;Matched"))</f>
        <v/>
      </c>
    </row>
    <row r="227" spans="1:10" x14ac:dyDescent="0.25">
      <c r="A227" s="10" t="s">
        <v>723</v>
      </c>
      <c r="B227" s="6">
        <v>46022</v>
      </c>
      <c r="C227" s="10" t="s">
        <v>724</v>
      </c>
      <c r="D227" s="10" t="s">
        <v>725</v>
      </c>
      <c r="E227" s="11">
        <v>3141.11</v>
      </c>
      <c r="F227" s="10" t="b">
        <f>COUNTIF(tblBank[Reference],tblLedger[[#This Row],[Reference]])&gt;0</f>
        <v>1</v>
      </c>
      <c r="G227" s="10" t="str">
        <f>IFERROR(INDEX(tblBank[BankId],MATCH(tblLedger[[#This Row],[Entry]],tblBank[MatchedEntry],0)),"")</f>
        <v>B228</v>
      </c>
      <c r="H227" s="10" t="str">
        <f>IF(tblLedger[[#This Row],[BankId]]&lt;&gt;"","Matched",IF(tblLedger[[#This Row],[Amount]]&gt;0,"Deposit in transit","Outstanding payment"))</f>
        <v>Matched</v>
      </c>
      <c r="I227" s="10" t="str">
        <f>IF(tblLedger[[#This Row],[Status]]="Matched","",IF(tblLedger[[#This Row],[Status]]="Deposit in transit","Check it is credited on the January statement","Check it is debited on the January statement"))</f>
        <v/>
      </c>
      <c r="J227" s="10" t="str">
        <f>IF(tblLedger[[#This Row],[Status]]="Matched","",COUNTIF(tblBank[Status],"&lt;&gt;Matched")+COUNTIF(INDEX(tblLedger[Status],1):tblLedger[[#This Row],[Status]],"&lt;&gt;Matched"))</f>
        <v/>
      </c>
    </row>
    <row r="228" spans="1:10" x14ac:dyDescent="0.25">
      <c r="A228" s="10" t="s">
        <v>726</v>
      </c>
      <c r="B228" s="6">
        <v>46022</v>
      </c>
      <c r="C228" s="10" t="s">
        <v>727</v>
      </c>
      <c r="D228" s="10" t="s">
        <v>728</v>
      </c>
      <c r="E228" s="11">
        <v>-33014.449999999997</v>
      </c>
      <c r="F228" s="10" t="b">
        <f>COUNTIF(tblBank[Reference],tblLedger[[#This Row],[Reference]])&gt;0</f>
        <v>1</v>
      </c>
      <c r="G228" s="10" t="str">
        <f>IFERROR(INDEX(tblBank[BankId],MATCH(tblLedger[[#This Row],[Entry]],tblBank[MatchedEntry],0)),"")</f>
        <v>B226</v>
      </c>
      <c r="H228" s="10" t="str">
        <f>IF(tblLedger[[#This Row],[BankId]]&lt;&gt;"","Matched",IF(tblLedger[[#This Row],[Amount]]&gt;0,"Deposit in transit","Outstanding payment"))</f>
        <v>Matched</v>
      </c>
      <c r="I228" s="10" t="str">
        <f>IF(tblLedger[[#This Row],[Status]]="Matched","",IF(tblLedger[[#This Row],[Status]]="Deposit in transit","Check it is credited on the January statement","Check it is debited on the January statement"))</f>
        <v/>
      </c>
      <c r="J228" s="10" t="str">
        <f>IF(tblLedger[[#This Row],[Status]]="Matched","",COUNTIF(tblBank[Status],"&lt;&gt;Matched")+COUNTIF(INDEX(tblLedger[Status],1):tblLedger[[#This Row],[Status]],"&lt;&gt;Matched"))</f>
        <v/>
      </c>
    </row>
    <row r="229" spans="1:10" x14ac:dyDescent="0.25">
      <c r="A229" s="10" t="s">
        <v>729</v>
      </c>
      <c r="B229" s="6">
        <v>46022</v>
      </c>
      <c r="C229" s="10" t="s">
        <v>730</v>
      </c>
      <c r="D229" s="10" t="s">
        <v>731</v>
      </c>
      <c r="E229" s="11">
        <v>242.7</v>
      </c>
      <c r="F229" s="10" t="b">
        <f>COUNTIF(tblBank[Reference],tblLedger[[#This Row],[Reference]])&gt;0</f>
        <v>1</v>
      </c>
      <c r="G229" s="10" t="str">
        <f>IFERROR(INDEX(tblBank[BankId],MATCH(tblLedger[[#This Row],[Entry]],tblBank[MatchedEntry],0)),"")</f>
        <v>B227</v>
      </c>
      <c r="H229" s="10" t="str">
        <f>IF(tblLedger[[#This Row],[BankId]]&lt;&gt;"","Matched",IF(tblLedger[[#This Row],[Amount]]&gt;0,"Deposit in transit","Outstanding payment"))</f>
        <v>Matched</v>
      </c>
      <c r="I229" s="10" t="str">
        <f>IF(tblLedger[[#This Row],[Status]]="Matched","",IF(tblLedger[[#This Row],[Status]]="Deposit in transit","Check it is credited on the January statement","Check it is debited on the January statement"))</f>
        <v/>
      </c>
      <c r="J229" s="10" t="str">
        <f>IF(tblLedger[[#This Row],[Status]]="Matched","",COUNTIF(tblBank[Status],"&lt;&gt;Matched")+COUNTIF(INDEX(tblLedger[Status],1):tblLedger[[#This Row],[Status]],"&lt;&gt;Matched"))</f>
        <v/>
      </c>
    </row>
    <row r="230" spans="1:10" x14ac:dyDescent="0.25">
      <c r="A230" s="10" t="s">
        <v>732</v>
      </c>
      <c r="B230" s="6">
        <v>46022</v>
      </c>
      <c r="C230" s="10" t="s">
        <v>733</v>
      </c>
      <c r="D230" s="10" t="s">
        <v>734</v>
      </c>
      <c r="E230" s="11">
        <v>307.97000000000003</v>
      </c>
      <c r="F230" s="10" t="b">
        <f>COUNTIF(tblBank[Reference],tblLedger[[#This Row],[Reference]])&gt;0</f>
        <v>0</v>
      </c>
      <c r="G230" s="10" t="str">
        <f>IFERROR(INDEX(tblBank[BankId],MATCH(tblLedger[[#This Row],[Entry]],tblBank[MatchedEntry],0)),"")</f>
        <v/>
      </c>
      <c r="H230" s="10" t="str">
        <f>IF(tblLedger[[#This Row],[BankId]]&lt;&gt;"","Matched",IF(tblLedger[[#This Row],[Amount]]&gt;0,"Deposit in transit","Outstanding payment"))</f>
        <v>Deposit in transit</v>
      </c>
      <c r="I230" s="10" t="str">
        <f>IF(tblLedger[[#This Row],[Status]]="Matched","",IF(tblLedger[[#This Row],[Status]]="Deposit in transit","Check it is credited on the January statement","Check it is debited on the January statement"))</f>
        <v>Check it is credited on the January statement</v>
      </c>
      <c r="J230" s="10">
        <f>IF(tblLedger[[#This Row],[Status]]="Matched","",COUNTIF(tblBank[Status],"&lt;&gt;Matched")+COUNTIF(INDEX(tblLedger[Status],1):tblLedger[[#This Row],[Status]],"&lt;&gt;Matched"))</f>
        <v>14</v>
      </c>
    </row>
    <row r="231" spans="1:10" x14ac:dyDescent="0.25">
      <c r="A231" s="10" t="s">
        <v>735</v>
      </c>
      <c r="B231" s="6">
        <v>46022</v>
      </c>
      <c r="C231" s="10" t="s">
        <v>736</v>
      </c>
      <c r="D231" s="10" t="s">
        <v>737</v>
      </c>
      <c r="E231" s="11">
        <v>-82.31</v>
      </c>
      <c r="F231" s="10" t="b">
        <f>COUNTIF(tblBank[Reference],tblLedger[[#This Row],[Reference]])&gt;0</f>
        <v>0</v>
      </c>
      <c r="G231" s="10" t="str">
        <f>IFERROR(INDEX(tblBank[BankId],MATCH(tblLedger[[#This Row],[Entry]],tblBank[MatchedEntry],0)),"")</f>
        <v/>
      </c>
      <c r="H231" s="10" t="str">
        <f>IF(tblLedger[[#This Row],[BankId]]&lt;&gt;"","Matched",IF(tblLedger[[#This Row],[Amount]]&gt;0,"Deposit in transit","Outstanding payment"))</f>
        <v>Outstanding payment</v>
      </c>
      <c r="I231" s="10" t="str">
        <f>IF(tblLedger[[#This Row],[Status]]="Matched","",IF(tblLedger[[#This Row],[Status]]="Deposit in transit","Check it is credited on the January statement","Check it is debited on the January statement"))</f>
        <v>Check it is debited on the January statement</v>
      </c>
      <c r="J231" s="10">
        <f>IF(tblLedger[[#This Row],[Status]]="Matched","",COUNTIF(tblBank[Status],"&lt;&gt;Matched")+COUNTIF(INDEX(tblLedger[Status],1):tblLedger[[#This Row],[Status]],"&lt;&gt;Matched"))</f>
        <v>15</v>
      </c>
    </row>
    <row r="232" spans="1:10" x14ac:dyDescent="0.25">
      <c r="A232" s="10" t="s">
        <v>738</v>
      </c>
      <c r="B232" s="6">
        <v>46022</v>
      </c>
      <c r="C232" s="10" t="s">
        <v>739</v>
      </c>
      <c r="D232" s="10" t="s">
        <v>740</v>
      </c>
      <c r="E232" s="11">
        <v>965.96</v>
      </c>
      <c r="F232" s="10" t="b">
        <f>COUNTIF(tblBank[Reference],tblLedger[[#This Row],[Reference]])&gt;0</f>
        <v>0</v>
      </c>
      <c r="G232" s="10" t="str">
        <f>IFERROR(INDEX(tblBank[BankId],MATCH(tblLedger[[#This Row],[Entry]],tblBank[MatchedEntry],0)),"")</f>
        <v/>
      </c>
      <c r="H232" s="10" t="str">
        <f>IF(tblLedger[[#This Row],[BankId]]&lt;&gt;"","Matched",IF(tblLedger[[#This Row],[Amount]]&gt;0,"Deposit in transit","Outstanding payment"))</f>
        <v>Deposit in transit</v>
      </c>
      <c r="I232" s="10" t="str">
        <f>IF(tblLedger[[#This Row],[Status]]="Matched","",IF(tblLedger[[#This Row],[Status]]="Deposit in transit","Check it is credited on the January statement","Check it is debited on the January statement"))</f>
        <v>Check it is credited on the January statement</v>
      </c>
      <c r="J232" s="10">
        <f>IF(tblLedger[[#This Row],[Status]]="Matched","",COUNTIF(tblBank[Status],"&lt;&gt;Matched")+COUNTIF(INDEX(tblLedger[Status],1):tblLedger[[#This Row],[Status]],"&lt;&gt;Matched"))</f>
        <v>16</v>
      </c>
    </row>
    <row r="233" spans="1:10" x14ac:dyDescent="0.25">
      <c r="A233" s="10" t="s">
        <v>741</v>
      </c>
      <c r="B233" s="6">
        <v>46022</v>
      </c>
      <c r="C233" s="10" t="s">
        <v>742</v>
      </c>
      <c r="D233" s="10" t="s">
        <v>743</v>
      </c>
      <c r="E233" s="11">
        <v>4866.78</v>
      </c>
      <c r="F233" s="10" t="b">
        <f>COUNTIF(tblBank[Reference],tblLedger[[#This Row],[Reference]])&gt;0</f>
        <v>0</v>
      </c>
      <c r="G233" s="10" t="str">
        <f>IFERROR(INDEX(tblBank[BankId],MATCH(tblLedger[[#This Row],[Entry]],tblBank[MatchedEntry],0)),"")</f>
        <v>B229</v>
      </c>
      <c r="H233" s="10" t="str">
        <f>IF(tblLedger[[#This Row],[BankId]]&lt;&gt;"","Matched",IF(tblLedger[[#This Row],[Amount]]&gt;0,"Deposit in transit","Outstanding payment"))</f>
        <v>Matched</v>
      </c>
      <c r="I233" s="10" t="str">
        <f>IF(tblLedger[[#This Row],[Status]]="Matched","",IF(tblLedger[[#This Row],[Status]]="Deposit in transit","Check it is credited on the January statement","Check it is debited on the January statement"))</f>
        <v/>
      </c>
      <c r="J233" s="10" t="str">
        <f>IF(tblLedger[[#This Row],[Status]]="Matched","",COUNTIF(tblBank[Status],"&lt;&gt;Matched")+COUNTIF(INDEX(tblLedger[Status],1):tblLedger[[#This Row],[Status]],"&lt;&gt;Matched"))</f>
        <v/>
      </c>
    </row>
  </sheetData>
  <phoneticPr fontId="5" type="noConversion"/>
  <conditionalFormatting sqref="H2:H233">
    <cfRule type="cellIs" dxfId="38" priority="1" stopIfTrue="1" operator="equal">
      <formula>"Matched"</formula>
    </cfRule>
    <cfRule type="cellIs" dxfId="37" priority="2" stopIfTrue="1" operator="equal">
      <formula>"Not in books"</formula>
    </cfRule>
    <cfRule type="cellIs" dxfId="36" priority="3" stopIfTrue="1" operator="equal">
      <formula>"Amount difference"</formula>
    </cfRule>
    <cfRule type="cellIs" dxfId="35" priority="4" stopIfTrue="1" operator="equal">
      <formula>"Deposit in transit"</formula>
    </cfRule>
    <cfRule type="cellIs" dxfId="34" priority="5" stopIfTrue="1" operator="equal">
      <formula>"Outstanding payment"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C394-E26C-4664-9352-A98D15117A81}">
  <dimension ref="B2:E11"/>
  <sheetViews>
    <sheetView showGridLines="0" workbookViewId="0"/>
  </sheetViews>
  <sheetFormatPr baseColWidth="10" defaultRowHeight="13.2" x14ac:dyDescent="0.25"/>
  <cols>
    <col min="2" max="2" width="18.77734375" customWidth="1"/>
    <col min="3" max="3" width="26.77734375" customWidth="1"/>
    <col min="4" max="4" width="70.77734375" customWidth="1"/>
    <col min="5" max="5" width="12.77734375" customWidth="1"/>
  </cols>
  <sheetData>
    <row r="2" spans="2:5" ht="21" x14ac:dyDescent="0.4">
      <c r="B2" s="1" t="s">
        <v>17</v>
      </c>
    </row>
    <row r="3" spans="2:5" x14ac:dyDescent="0.25">
      <c r="B3" s="2" t="s">
        <v>18</v>
      </c>
    </row>
    <row r="5" spans="2:5" x14ac:dyDescent="0.25">
      <c r="B5" s="3" t="s">
        <v>19</v>
      </c>
      <c r="C5" s="3" t="s">
        <v>20</v>
      </c>
      <c r="D5" s="3" t="s">
        <v>21</v>
      </c>
      <c r="E5" s="3" t="s">
        <v>22</v>
      </c>
    </row>
    <row r="6" spans="2:5" x14ac:dyDescent="0.25">
      <c r="B6" s="3" t="s">
        <v>23</v>
      </c>
      <c r="C6" s="3" t="s">
        <v>24</v>
      </c>
      <c r="D6" s="3" t="s">
        <v>25</v>
      </c>
      <c r="E6" s="3" t="s">
        <v>26</v>
      </c>
    </row>
    <row r="7" spans="2:5" x14ac:dyDescent="0.25">
      <c r="B7" s="3" t="s">
        <v>27</v>
      </c>
      <c r="C7" s="3" t="s">
        <v>24</v>
      </c>
      <c r="D7" s="3" t="s">
        <v>25</v>
      </c>
      <c r="E7" s="3" t="s">
        <v>26</v>
      </c>
    </row>
    <row r="8" spans="2:5" x14ac:dyDescent="0.25">
      <c r="B8" s="3" t="s">
        <v>28</v>
      </c>
      <c r="C8" s="3" t="s">
        <v>29</v>
      </c>
      <c r="D8" s="3" t="s">
        <v>30</v>
      </c>
      <c r="E8" s="3" t="s">
        <v>31</v>
      </c>
    </row>
    <row r="9" spans="2:5" x14ac:dyDescent="0.25">
      <c r="B9" s="3" t="s">
        <v>32</v>
      </c>
      <c r="C9" s="3" t="s">
        <v>33</v>
      </c>
      <c r="D9" s="3" t="s">
        <v>34</v>
      </c>
      <c r="E9" s="3" t="s">
        <v>35</v>
      </c>
    </row>
    <row r="10" spans="2:5" x14ac:dyDescent="0.25">
      <c r="B10" s="3" t="s">
        <v>36</v>
      </c>
      <c r="C10" s="3" t="s">
        <v>37</v>
      </c>
      <c r="D10" s="3" t="s">
        <v>38</v>
      </c>
      <c r="E10" s="3" t="s">
        <v>39</v>
      </c>
    </row>
    <row r="11" spans="2:5" x14ac:dyDescent="0.25">
      <c r="B11" s="3" t="s">
        <v>40</v>
      </c>
      <c r="C11" s="3" t="s">
        <v>41</v>
      </c>
      <c r="D11" s="3" t="s">
        <v>42</v>
      </c>
      <c r="E11" s="3" t="s">
        <v>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6D7A-DADC-44FE-A8C8-F990FC8A635C}">
  <dimension ref="B2:D16"/>
  <sheetViews>
    <sheetView showGridLines="0" workbookViewId="0"/>
  </sheetViews>
  <sheetFormatPr baseColWidth="10" defaultRowHeight="13.2" x14ac:dyDescent="0.25"/>
  <cols>
    <col min="2" max="2" width="52.77734375" customWidth="1"/>
    <col min="3" max="3" width="34.77734375" customWidth="1"/>
    <col min="4" max="4" width="70.77734375" customWidth="1"/>
  </cols>
  <sheetData>
    <row r="2" spans="2:4" ht="21" x14ac:dyDescent="0.4">
      <c r="B2" s="1" t="s">
        <v>0</v>
      </c>
    </row>
    <row r="3" spans="2:4" x14ac:dyDescent="0.25">
      <c r="B3" s="2" t="s">
        <v>1</v>
      </c>
    </row>
    <row r="5" spans="2:4" x14ac:dyDescent="0.25">
      <c r="B5" t="s">
        <v>2</v>
      </c>
      <c r="C5" s="4" t="str">
        <f ca="1">LEFT(CELL("filename",A1),FIND("[",CELL("filename",A1))-1)&amp;"data\"</f>
        <v>C:\Users\w-Mau\Desktop\claudecode\portfolio\projects\bank-reconciliation\data\</v>
      </c>
    </row>
    <row r="6" spans="2:4" x14ac:dyDescent="0.25">
      <c r="B6" t="s">
        <v>3</v>
      </c>
      <c r="C6" s="5" t="s">
        <v>4</v>
      </c>
    </row>
    <row r="7" spans="2:4" x14ac:dyDescent="0.25">
      <c r="B7" t="s">
        <v>5</v>
      </c>
      <c r="C7" s="5" t="s">
        <v>6</v>
      </c>
    </row>
    <row r="9" spans="2:4" x14ac:dyDescent="0.25">
      <c r="B9" t="s">
        <v>7</v>
      </c>
      <c r="C9" s="7">
        <f>DATE(2025,12,1)</f>
        <v>45992</v>
      </c>
    </row>
    <row r="10" spans="2:4" x14ac:dyDescent="0.25">
      <c r="B10" t="s">
        <v>8</v>
      </c>
      <c r="C10" s="7">
        <f>DATE(2025,12,31)</f>
        <v>46022</v>
      </c>
    </row>
    <row r="12" spans="2:4" x14ac:dyDescent="0.25">
      <c r="B12" t="s">
        <v>9</v>
      </c>
      <c r="C12" s="8">
        <v>186420.35</v>
      </c>
      <c r="D12" s="2" t="s">
        <v>10</v>
      </c>
    </row>
    <row r="13" spans="2:4" x14ac:dyDescent="0.25">
      <c r="B13" t="s">
        <v>11</v>
      </c>
      <c r="C13" s="8">
        <v>186420.35</v>
      </c>
      <c r="D13" s="2" t="s">
        <v>12</v>
      </c>
    </row>
    <row r="14" spans="2:4" x14ac:dyDescent="0.25">
      <c r="B14" t="s">
        <v>13</v>
      </c>
      <c r="C14" s="8">
        <v>406502.7</v>
      </c>
      <c r="D14" s="2" t="s">
        <v>14</v>
      </c>
    </row>
    <row r="16" spans="2:4" x14ac:dyDescent="0.25">
      <c r="B16" t="s">
        <v>15</v>
      </c>
      <c r="C16" s="9">
        <v>5</v>
      </c>
      <c r="D16" s="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59A019-8A7F-4D08-89BD-52BBC445C8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9</vt:i4>
      </vt:variant>
    </vt:vector>
  </HeadingPairs>
  <TitlesOfParts>
    <vt:vector size="17" baseType="lpstr">
      <vt:lpstr>Start</vt:lpstr>
      <vt:lpstr>Summary</vt:lpstr>
      <vt:lpstr>Reconciliation</vt:lpstr>
      <vt:lpstr>Actions</vt:lpstr>
      <vt:lpstr>Bank</vt:lpstr>
      <vt:lpstr>Ledger</vt:lpstr>
      <vt:lpstr>Rules</vt:lpstr>
      <vt:lpstr>Settings</vt:lpstr>
      <vt:lpstr>BankFile</vt:lpstr>
      <vt:lpstr>DataFolder</vt:lpstr>
      <vt:lpstr>DateTolerance</vt:lpstr>
      <vt:lpstr>LedgerFile</vt:lpstr>
      <vt:lpstr>OpeningBank</vt:lpstr>
      <vt:lpstr>OpeningBooks</vt:lpstr>
      <vt:lpstr>PeriodEnd</vt:lpstr>
      <vt:lpstr>PeriodStart</vt:lpstr>
      <vt:lpstr>StatementClosing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Maureen WIART</dc:creator>
  <cp:lastModifiedBy>Maureen WIART</cp:lastModifiedBy>
  <dcterms:created xsi:type="dcterms:W3CDTF">2026-10-07T17:05:18Z</dcterms:created>
  <dcterms:modified xsi:type="dcterms:W3CDTF">2026-10-07T17:05:32Z</dcterms:modified>
</cp:coreProperties>
</file>